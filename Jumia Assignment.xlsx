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7596" windowHeight="4872" firstSheet="3" activeTab="6"/>
  </bookViews>
  <sheets>
    <sheet name="Excel_jumia (1)" sheetId="1" state="hidden" r:id="rId1"/>
    <sheet name="Discount" sheetId="3" r:id="rId2"/>
    <sheet name="Ratings" sheetId="4" r:id="rId3"/>
    <sheet name="Sheet4" sheetId="5" r:id="rId4"/>
    <sheet name="Top products per rating" sheetId="6" r:id="rId5"/>
    <sheet name="Sheet1" sheetId="7" r:id="rId6"/>
    <sheet name="Dashboard" sheetId="8" r:id="rId7"/>
    <sheet name="Data" sheetId="2" r:id="rId8"/>
  </sheets>
  <definedNames>
    <definedName name="_xlnm._FilterDatabase" localSheetId="7" hidden="1">Data!$A$1:$H$110</definedName>
    <definedName name="Slicer_Discount_Category">#N/A</definedName>
    <definedName name="Slicer_Rating_Category">#N/A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2" l="1"/>
  <c r="Q2" i="2"/>
  <c r="P2" i="2"/>
  <c r="O2" i="2"/>
  <c r="N2" i="2"/>
  <c r="M2" i="2"/>
  <c r="L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2" i="2"/>
  <c r="E15" i="7"/>
  <c r="E11" i="7"/>
  <c r="E7" i="7"/>
  <c r="E3" i="7"/>
  <c r="C114" i="5"/>
  <c r="D114" i="5"/>
  <c r="B120" i="5"/>
  <c r="E114" i="5"/>
  <c r="K6" i="8" l="1"/>
  <c r="M6" i="8"/>
  <c r="O6" i="8"/>
  <c r="Q6" i="8"/>
</calcChain>
</file>

<file path=xl/sharedStrings.xml><?xml version="1.0" encoding="utf-8"?>
<sst xmlns="http://schemas.openxmlformats.org/spreadsheetml/2006/main" count="1137" uniqueCount="151">
  <si>
    <t>Product</t>
  </si>
  <si>
    <t>Current price</t>
  </si>
  <si>
    <t>old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</si>
  <si>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</si>
  <si>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</si>
  <si>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</si>
  <si>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</si>
  <si>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</si>
  <si>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</si>
  <si>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</si>
  <si>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</si>
  <si>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</si>
  <si>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</si>
  <si>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</si>
  <si>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</si>
  <si>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</si>
  <si>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</si>
  <si>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</si>
  <si>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</si>
  <si>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</si>
  <si>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</si>
  <si>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</si>
  <si>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</si>
  <si>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</si>
  <si>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</si>
  <si>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</si>
  <si>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</si>
  <si>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</si>
  <si>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</si>
  <si>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</si>
  <si>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</si>
  <si>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</si>
  <si>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</si>
  <si>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</si>
  <si>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</si>
  <si>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</si>
  <si>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</si>
  <si>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</si>
  <si>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</si>
  <si>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</si>
  <si>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</si>
  <si>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</si>
  <si>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</si>
  <si>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</si>
  <si>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</si>
  <si>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</si>
  <si>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</si>
  <si>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</si>
  <si>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</si>
  <si>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</si>
  <si>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</si>
  <si>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</si>
  <si>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</si>
  <si>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</si>
  <si>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</si>
  <si>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</si>
  <si>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</si>
  <si>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</si>
  <si>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</si>
  <si>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</si>
  <si>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</si>
  <si>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</si>
  <si>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</si>
  <si>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</si>
  <si>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</si>
  <si>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</si>
  <si>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</si>
  <si>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</si>
  <si>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</si>
  <si>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</si>
  <si>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</si>
  <si>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</si>
  <si>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</si>
  <si>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</si>
  <si>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</si>
  <si>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</si>
  <si>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</si>
  <si>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</si>
  <si>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</si>
  <si>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</si>
  <si>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</si>
  <si>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</si>
  <si>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</si>
  <si>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</si>
  <si>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</si>
  <si>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</si>
  <si>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</si>
  <si>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</si>
  <si>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</si>
  <si>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</si>
  <si>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</si>
  <si>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</si>
  <si>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</si>
  <si>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</si>
  <si>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</si>
  <si>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</si>
  <si>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</si>
  <si>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</si>
  <si>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</si>
  <si>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</si>
  <si>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</si>
  <si>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</si>
  <si>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</si>
  <si>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</si>
  <si>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</si>
  <si>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</si>
  <si>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</si>
  <si>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</si>
  <si>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</si>
  <si>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</si>
  <si>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</si>
  <si>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</si>
  <si>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</si>
  <si>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</si>
  <si>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</si>
  <si>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Current</t>
  </si>
  <si>
    <t>price</t>
  </si>
  <si>
    <t>KSh</t>
  </si>
  <si>
    <t>-</t>
  </si>
  <si>
    <t>old</t>
  </si>
  <si>
    <t>out</t>
  </si>
  <si>
    <t>of</t>
  </si>
  <si>
    <t>Discount Amount (KSh)</t>
  </si>
  <si>
    <t>Rating Category</t>
  </si>
  <si>
    <t>Discount Category</t>
  </si>
  <si>
    <t>avg current price</t>
  </si>
  <si>
    <t>avg old price</t>
  </si>
  <si>
    <t>avg discount percentage</t>
  </si>
  <si>
    <t>avg  rating?</t>
  </si>
  <si>
    <t>most expensive</t>
  </si>
  <si>
    <t>Least expensive</t>
  </si>
  <si>
    <t>Rating</t>
  </si>
  <si>
    <t>Row Labels</t>
  </si>
  <si>
    <t>High</t>
  </si>
  <si>
    <t>Low</t>
  </si>
  <si>
    <t>Medium</t>
  </si>
  <si>
    <t>Grand Total</t>
  </si>
  <si>
    <t>Average of Discount</t>
  </si>
  <si>
    <t>Count of Discount</t>
  </si>
  <si>
    <t>Sum of Rating</t>
  </si>
  <si>
    <t>Average of Rating</t>
  </si>
  <si>
    <t>Average</t>
  </si>
  <si>
    <t>Excelent</t>
  </si>
  <si>
    <t>Poor</t>
  </si>
  <si>
    <t>Count of Product</t>
  </si>
  <si>
    <t>Sum of Review</t>
  </si>
  <si>
    <t>Total No of Products</t>
  </si>
  <si>
    <t>Average Rating</t>
  </si>
  <si>
    <t>Average Discount %</t>
  </si>
  <si>
    <t>Total No of Reviews</t>
  </si>
  <si>
    <t>JUMIA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</si>
</sst>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_(* #,##0.0_);_(* \(#,##0.0\);_(* &quot;-&quot;??_);_(@_)"/>
    <numFmt numFmtId="165" formatCode="_(* #,##0_);_(* \(#,##0\);_(* &quot;-&quot;??_);_(@_)"/>
    <numFmt numFmtId="166"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6">
    <xf numFmtId="0" fontId="0" fillId="0" borderId="0" xfId="0"/>
    <xf numFmtId="9" fontId="0" fillId="0" borderId="0" xfId="0" applyNumberFormat="1"/>
    <xf numFmtId="43" fontId="0" fillId="0" borderId="0" xfId="1" applyFont="1"/>
    <xf numFmtId="44" fontId="0" fillId="0" borderId="0" xfId="2" applyFont="1"/>
    <xf numFmtId="3" fontId="0" fillId="0" borderId="0" xfId="0" applyNumberFormat="1"/>
    <xf numFmtId="164" fontId="0" fillId="0" borderId="0" xfId="1" applyNumberFormat="1" applyFont="1"/>
    <xf numFmtId="9" fontId="0" fillId="0" borderId="0" xfId="3" applyFont="1"/>
    <xf numFmtId="0" fontId="18" fillId="0" borderId="0" xfId="0" applyFont="1"/>
    <xf numFmtId="44" fontId="18" fillId="0" borderId="0" xfId="2" applyFont="1"/>
    <xf numFmtId="165" fontId="18" fillId="0" borderId="0" xfId="1" applyNumberFormat="1" applyFont="1"/>
    <xf numFmtId="164" fontId="18" fillId="0" borderId="0" xfId="1" applyNumberFormat="1" applyFont="1"/>
    <xf numFmtId="0" fontId="19" fillId="0" borderId="0" xfId="0" applyFont="1"/>
    <xf numFmtId="3" fontId="19" fillId="0" borderId="0" xfId="0" applyNumberFormat="1" applyFont="1"/>
    <xf numFmtId="9" fontId="19" fillId="0" borderId="0" xfId="0" applyNumberFormat="1" applyFont="1"/>
    <xf numFmtId="165" fontId="19" fillId="0" borderId="0" xfId="1" applyNumberFormat="1" applyFont="1"/>
    <xf numFmtId="164" fontId="19" fillId="0" borderId="0" xfId="1" applyNumberFormat="1" applyFont="1"/>
    <xf numFmtId="9" fontId="19" fillId="0" borderId="0" xfId="3" applyFont="1"/>
    <xf numFmtId="166" fontId="19" fillId="0" borderId="0" xfId="0" applyNumberFormat="1" applyFont="1"/>
    <xf numFmtId="44" fontId="19" fillId="0" borderId="0" xfId="0" applyNumberFormat="1" applyFont="1"/>
    <xf numFmtId="44" fontId="19" fillId="0" borderId="0" xfId="2" applyFont="1"/>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164" fontId="0" fillId="0" borderId="0" xfId="0" applyNumberFormat="1"/>
    <xf numFmtId="165" fontId="0" fillId="0" borderId="0" xfId="0" applyNumberFormat="1"/>
    <xf numFmtId="1" fontId="0" fillId="0" borderId="0" xfId="0" applyNumberFormat="1"/>
    <xf numFmtId="2" fontId="0" fillId="0" borderId="0" xfId="0" applyNumberFormat="1"/>
    <xf numFmtId="0" fontId="0" fillId="33" borderId="0" xfId="0" applyFill="1"/>
    <xf numFmtId="43" fontId="0" fillId="0" borderId="0" xfId="1" applyNumberFormat="1" applyFont="1"/>
    <xf numFmtId="165" fontId="0" fillId="0" borderId="0" xfId="1" applyNumberFormat="1" applyFont="1"/>
    <xf numFmtId="0" fontId="20" fillId="35" borderId="0" xfId="0" applyFont="1" applyFill="1" applyAlignment="1">
      <alignment horizontal="center"/>
    </xf>
    <xf numFmtId="43" fontId="20" fillId="35" borderId="0" xfId="0" applyNumberFormat="1" applyFont="1" applyFill="1" applyAlignment="1">
      <alignment horizontal="center"/>
    </xf>
    <xf numFmtId="9" fontId="20" fillId="35" borderId="0" xfId="0" applyNumberFormat="1" applyFont="1" applyFill="1" applyAlignment="1">
      <alignment horizontal="center"/>
    </xf>
    <xf numFmtId="165" fontId="20" fillId="35" borderId="0" xfId="1" applyNumberFormat="1" applyFont="1" applyFill="1" applyAlignment="1">
      <alignment horizontal="center"/>
    </xf>
    <xf numFmtId="0" fontId="21" fillId="34" borderId="0" xfId="0" applyFont="1" applyFill="1" applyAlignment="1">
      <alignment horizontal="center" vertical="center"/>
    </xf>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198">
    <dxf>
      <font>
        <strike val="0"/>
        <outline val="0"/>
        <shadow val="0"/>
        <u val="none"/>
        <vertAlign val="baseline"/>
        <sz val="10"/>
        <color theme="1"/>
        <name val="Calibri"/>
        <scheme val="minor"/>
      </font>
      <numFmt numFmtId="0" formatCode="General"/>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scheme val="minor"/>
      </font>
      <numFmt numFmtId="164" formatCode="_(* #,##0.0_);_(* \(#,##0.0\);_(* &quot;-&quot;??_);_(@_)"/>
    </dxf>
    <dxf>
      <font>
        <b val="0"/>
        <i val="0"/>
        <strike val="0"/>
        <condense val="0"/>
        <extend val="0"/>
        <outline val="0"/>
        <shadow val="0"/>
        <u val="none"/>
        <vertAlign val="baseline"/>
        <sz val="10"/>
        <color theme="1"/>
        <name val="Calibri"/>
        <scheme val="minor"/>
      </font>
      <numFmt numFmtId="165" formatCode="_(* #,##0_);_(* \(#,##0\);_(* &quot;-&quot;??_);_(@_)"/>
    </dxf>
    <dxf>
      <font>
        <strike val="0"/>
        <outline val="0"/>
        <shadow val="0"/>
        <u val="none"/>
        <vertAlign val="baseline"/>
        <sz val="10"/>
        <color theme="1"/>
        <name val="Calibri"/>
        <scheme val="minor"/>
      </font>
      <numFmt numFmtId="13" formatCode="0%"/>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dxf>
    <dxf>
      <font>
        <color rgb="FF9C0006"/>
      </font>
      <fill>
        <patternFill>
          <bgColor rgb="FFFFC7CE"/>
        </patternFill>
      </fill>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35" formatCode="_(* #,##0.00_);_(* \(#,##0.00\);_(* &quot;-&quot;??_);_(@_)"/>
    </dxf>
    <dxf>
      <numFmt numFmtId="165" formatCode="_(* #,##0_);_(* \(#,##0\);_(* &quot;-&quot;??_);_(@_)"/>
    </dxf>
    <dxf>
      <numFmt numFmtId="164" formatCode="_(* #,##0.0_);_(* \(#,##0.0\);_(* &quot;-&quot;??_);_(@_)"/>
    </dxf>
    <dxf>
      <numFmt numFmtId="35" formatCode="_(* #,##0.00_);_(* \(#,##0.00\);_(* &quot;-&quot;??_);_(@_)"/>
    </dxf>
    <dxf>
      <numFmt numFmtId="13" formatCode="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3" formatCode="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35" formatCode="_(* #,##0.00_);_(* \(#,##0.00\);_(* &quot;-&quot;??_);_(@_)"/>
    </dxf>
    <dxf>
      <numFmt numFmtId="13" formatCode="0%"/>
    </dxf>
    <dxf>
      <numFmt numFmtId="2" formatCode="0.0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35" formatCode="_(* #,##0.00_);_(* \(#,##0.00\);_(* &quot;-&quot;??_);_(@_)"/>
    </dxf>
    <dxf>
      <numFmt numFmtId="165" formatCode="_(* #,##0_);_(* \(#,##0\);_(* &quot;-&quot;??_);_(@_)"/>
    </dxf>
    <dxf>
      <numFmt numFmtId="164" formatCode="_(* #,##0.0_);_(* \(#,##0.0\);_(* &quot;-&quot;??_);_(@_)"/>
    </dxf>
    <dxf>
      <numFmt numFmtId="35" formatCode="_(* #,##0.00_);_(* \(#,##0.00\);_(* &quot;-&quot;??_);_(@_)"/>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Discount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Sheet1!$B$149</c:f>
              <c:strCache>
                <c:ptCount val="1"/>
                <c:pt idx="0">
                  <c:v>Total</c:v>
                </c:pt>
              </c:strCache>
            </c:strRef>
          </c:tx>
          <c:spPr>
            <a:solidFill>
              <a:schemeClr val="accent1"/>
            </a:solidFill>
            <a:ln>
              <a:noFill/>
            </a:ln>
            <a:effectLst/>
          </c:spPr>
          <c:invertIfNegative val="0"/>
          <c:cat>
            <c:strRef>
              <c:f>Sheet1!$A$150:$A$161</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Sheet1!$B$150:$B$161</c:f>
              <c:numCache>
                <c:formatCode>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DA31-4082-BD71-1AB82A4D325F}"/>
            </c:ext>
          </c:extLst>
        </c:ser>
        <c:dLbls>
          <c:showLegendKey val="0"/>
          <c:showVal val="0"/>
          <c:showCatName val="0"/>
          <c:showSerName val="0"/>
          <c:showPercent val="0"/>
          <c:showBubbleSize val="0"/>
        </c:dLbls>
        <c:gapWidth val="182"/>
        <c:axId val="483197832"/>
        <c:axId val="483202096"/>
      </c:barChart>
      <c:catAx>
        <c:axId val="48319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02096"/>
        <c:crosses val="autoZero"/>
        <c:auto val="1"/>
        <c:lblAlgn val="ctr"/>
        <c:lblOffset val="100"/>
        <c:noMultiLvlLbl val="0"/>
      </c:catAx>
      <c:valAx>
        <c:axId val="4832020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97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Sheet1!$B$131</c:f>
              <c:strCache>
                <c:ptCount val="1"/>
                <c:pt idx="0">
                  <c:v>Total</c:v>
                </c:pt>
              </c:strCache>
            </c:strRef>
          </c:tx>
          <c:spPr>
            <a:solidFill>
              <a:schemeClr val="accent1"/>
            </a:solidFill>
            <a:ln>
              <a:noFill/>
            </a:ln>
            <a:effectLst/>
          </c:spPr>
          <c:invertIfNegative val="0"/>
          <c:cat>
            <c:strRef>
              <c:f>Sheet1!$A$132:$A$142</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Sheet1!$B$132:$B$142</c:f>
              <c:numCache>
                <c:formatCode>_(* #,##0_);_(* \(#,##0\);_(* "-"??_);_(@_)</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EAE5-4BDD-BC20-27563903C491}"/>
            </c:ext>
          </c:extLst>
        </c:ser>
        <c:dLbls>
          <c:showLegendKey val="0"/>
          <c:showVal val="0"/>
          <c:showCatName val="0"/>
          <c:showSerName val="0"/>
          <c:showPercent val="0"/>
          <c:showBubbleSize val="0"/>
        </c:dLbls>
        <c:gapWidth val="219"/>
        <c:overlap val="-27"/>
        <c:axId val="444941376"/>
        <c:axId val="444945640"/>
      </c:barChart>
      <c:catAx>
        <c:axId val="44494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45640"/>
        <c:crosses val="autoZero"/>
        <c:auto val="1"/>
        <c:lblAlgn val="ctr"/>
        <c:lblOffset val="100"/>
        <c:noMultiLvlLbl val="0"/>
      </c:catAx>
      <c:valAx>
        <c:axId val="44494564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41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Reviews per</a:t>
            </a:r>
            <a:r>
              <a:rPr lang="en-US" baseline="0"/>
              <a:t> Discount Category</a:t>
            </a:r>
            <a:endParaRPr lang="en-US"/>
          </a:p>
        </c:rich>
      </c:tx>
      <c:layout>
        <c:manualLayout>
          <c:xMode val="edge"/>
          <c:yMode val="edge"/>
          <c:x val="0.23374587458745874"/>
          <c:y val="4.82456140350877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Sheet1!$B$164</c:f>
              <c:strCache>
                <c:ptCount val="1"/>
                <c:pt idx="0">
                  <c:v>Total</c:v>
                </c:pt>
              </c:strCache>
            </c:strRef>
          </c:tx>
          <c:spPr>
            <a:solidFill>
              <a:schemeClr val="accent1"/>
            </a:solidFill>
            <a:ln>
              <a:noFill/>
            </a:ln>
            <a:effectLst/>
          </c:spPr>
          <c:invertIfNegative val="0"/>
          <c:cat>
            <c:strRef>
              <c:f>Sheet1!$A$165:$A$168</c:f>
              <c:strCache>
                <c:ptCount val="3"/>
                <c:pt idx="0">
                  <c:v>High</c:v>
                </c:pt>
                <c:pt idx="1">
                  <c:v>Medium</c:v>
                </c:pt>
                <c:pt idx="2">
                  <c:v>Low</c:v>
                </c:pt>
              </c:strCache>
            </c:strRef>
          </c:cat>
          <c:val>
            <c:numRef>
              <c:f>Sheet1!$B$165:$B$168</c:f>
              <c:numCache>
                <c:formatCode>_(* #,##0_);_(* \(#,##0\);_(* "-"??_);_(@_)</c:formatCode>
                <c:ptCount val="3"/>
                <c:pt idx="0">
                  <c:v>701.84210526315849</c:v>
                </c:pt>
                <c:pt idx="1">
                  <c:v>453.15789473684202</c:v>
                </c:pt>
                <c:pt idx="2">
                  <c:v>227.57894736842101</c:v>
                </c:pt>
              </c:numCache>
            </c:numRef>
          </c:val>
          <c:extLst>
            <c:ext xmlns:c16="http://schemas.microsoft.com/office/drawing/2014/chart" uri="{C3380CC4-5D6E-409C-BE32-E72D297353CC}">
              <c16:uniqueId val="{00000000-9CA5-4995-94DB-10AC88E466AE}"/>
            </c:ext>
          </c:extLst>
        </c:ser>
        <c:dLbls>
          <c:showLegendKey val="0"/>
          <c:showVal val="0"/>
          <c:showCatName val="0"/>
          <c:showSerName val="0"/>
          <c:showPercent val="0"/>
          <c:showBubbleSize val="0"/>
        </c:dLbls>
        <c:gapWidth val="219"/>
        <c:overlap val="-27"/>
        <c:axId val="483227680"/>
        <c:axId val="483231288"/>
      </c:barChart>
      <c:catAx>
        <c:axId val="4832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31288"/>
        <c:crosses val="autoZero"/>
        <c:auto val="1"/>
        <c:lblAlgn val="ctr"/>
        <c:lblOffset val="100"/>
        <c:noMultiLvlLbl val="0"/>
      </c:catAx>
      <c:valAx>
        <c:axId val="48323128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27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Assignment.xlsx]Sheet1!PivotTable21</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1170725296109286"/>
          <c:y val="0.21714801444043325"/>
          <c:w val="0.52340940566285721"/>
          <c:h val="0.63725470688005159"/>
        </c:manualLayout>
      </c:layout>
      <c:barChart>
        <c:barDir val="bar"/>
        <c:grouping val="clustered"/>
        <c:varyColors val="0"/>
        <c:ser>
          <c:idx val="0"/>
          <c:order val="0"/>
          <c:tx>
            <c:strRef>
              <c:f>Sheet1!$B$171</c:f>
              <c:strCache>
                <c:ptCount val="1"/>
                <c:pt idx="0">
                  <c:v>Total</c:v>
                </c:pt>
              </c:strCache>
            </c:strRef>
          </c:tx>
          <c:spPr>
            <a:solidFill>
              <a:schemeClr val="accent1"/>
            </a:solidFill>
            <a:ln>
              <a:noFill/>
            </a:ln>
            <a:effectLst/>
          </c:spPr>
          <c:invertIfNegative val="0"/>
          <c:cat>
            <c:strRef>
              <c:f>Sheet1!$A$172:$A$175</c:f>
              <c:strCache>
                <c:ptCount val="3"/>
                <c:pt idx="0">
                  <c:v>Average</c:v>
                </c:pt>
                <c:pt idx="1">
                  <c:v>Excelent</c:v>
                </c:pt>
                <c:pt idx="2">
                  <c:v>Poor</c:v>
                </c:pt>
              </c:strCache>
            </c:strRef>
          </c:cat>
          <c:val>
            <c:numRef>
              <c:f>Sheet1!$B$172:$B$175</c:f>
              <c:numCache>
                <c:formatCode>_(* #,##0_);_(* \(#,##0\);_(* "-"??_);_(@_)</c:formatCode>
                <c:ptCount val="3"/>
                <c:pt idx="0">
                  <c:v>882.57894736842229</c:v>
                </c:pt>
                <c:pt idx="1">
                  <c:v>331</c:v>
                </c:pt>
                <c:pt idx="2">
                  <c:v>169</c:v>
                </c:pt>
              </c:numCache>
            </c:numRef>
          </c:val>
          <c:extLst>
            <c:ext xmlns:c16="http://schemas.microsoft.com/office/drawing/2014/chart" uri="{C3380CC4-5D6E-409C-BE32-E72D297353CC}">
              <c16:uniqueId val="{00000000-04F2-42D7-AAD5-547F3214D564}"/>
            </c:ext>
          </c:extLst>
        </c:ser>
        <c:dLbls>
          <c:showLegendKey val="0"/>
          <c:showVal val="0"/>
          <c:showCatName val="0"/>
          <c:showSerName val="0"/>
          <c:showPercent val="0"/>
          <c:showBubbleSize val="0"/>
        </c:dLbls>
        <c:gapWidth val="182"/>
        <c:axId val="481704464"/>
        <c:axId val="481711024"/>
      </c:barChart>
      <c:catAx>
        <c:axId val="48170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11024"/>
        <c:crosses val="autoZero"/>
        <c:auto val="1"/>
        <c:lblAlgn val="ctr"/>
        <c:lblOffset val="100"/>
        <c:noMultiLvlLbl val="0"/>
      </c:catAx>
      <c:valAx>
        <c:axId val="48171102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04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Assignment.xlsx]Sheet1!PivotTable22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products by Rating Category</a:t>
            </a:r>
          </a:p>
        </c:rich>
      </c:tx>
      <c:layout>
        <c:manualLayout>
          <c:xMode val="edge"/>
          <c:yMode val="edge"/>
          <c:x val="0.23695555643484262"/>
          <c:y val="5.9523809523809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Sheet1!$B$178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77-4089-BBAD-CDFE312479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77-4089-BBAD-CDFE312479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77-4089-BBAD-CDFE3124799E}"/>
              </c:ext>
            </c:extLst>
          </c:dPt>
          <c:cat>
            <c:strRef>
              <c:f>Sheet1!$A$179:$A$182</c:f>
              <c:strCache>
                <c:ptCount val="3"/>
                <c:pt idx="0">
                  <c:v>Average</c:v>
                </c:pt>
                <c:pt idx="1">
                  <c:v>Excelent</c:v>
                </c:pt>
                <c:pt idx="2">
                  <c:v>Poor</c:v>
                </c:pt>
              </c:strCache>
            </c:strRef>
          </c:cat>
          <c:val>
            <c:numRef>
              <c:f>Sheet1!$B$179:$B$182</c:f>
              <c:numCache>
                <c:formatCode>_(* #,##0_);_(* \(#,##0\);_(* "-"??_);_(@_)</c:formatCode>
                <c:ptCount val="3"/>
                <c:pt idx="0">
                  <c:v>74</c:v>
                </c:pt>
                <c:pt idx="1">
                  <c:v>23</c:v>
                </c:pt>
                <c:pt idx="2">
                  <c:v>12</c:v>
                </c:pt>
              </c:numCache>
            </c:numRef>
          </c:val>
          <c:extLst>
            <c:ext xmlns:c16="http://schemas.microsoft.com/office/drawing/2014/chart" uri="{C3380CC4-5D6E-409C-BE32-E72D297353CC}">
              <c16:uniqueId val="{00000006-4177-4089-BBAD-CDFE3124799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Assignment.xlsx]Sheet1!PivotTable23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Products</a:t>
            </a:r>
            <a:r>
              <a:rPr lang="en-US" baseline="0"/>
              <a:t> by Disc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Sheet1!$B$185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2F-447E-898D-92340750A70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2F-447E-898D-92340750A70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2F-447E-898D-92340750A705}"/>
              </c:ext>
            </c:extLst>
          </c:dPt>
          <c:cat>
            <c:strRef>
              <c:f>Sheet1!$A$186:$A$189</c:f>
              <c:strCache>
                <c:ptCount val="3"/>
                <c:pt idx="0">
                  <c:v>High</c:v>
                </c:pt>
                <c:pt idx="1">
                  <c:v>Medium</c:v>
                </c:pt>
                <c:pt idx="2">
                  <c:v>Low</c:v>
                </c:pt>
              </c:strCache>
            </c:strRef>
          </c:cat>
          <c:val>
            <c:numRef>
              <c:f>Sheet1!$B$186:$B$189</c:f>
              <c:numCache>
                <c:formatCode>_(* #,##0_);_(* \(#,##0\);_(* "-"??_);_(@_)</c:formatCode>
                <c:ptCount val="3"/>
                <c:pt idx="0">
                  <c:v>59</c:v>
                </c:pt>
                <c:pt idx="1">
                  <c:v>31</c:v>
                </c:pt>
                <c:pt idx="2">
                  <c:v>19</c:v>
                </c:pt>
              </c:numCache>
            </c:numRef>
          </c:val>
          <c:extLst>
            <c:ext xmlns:c16="http://schemas.microsoft.com/office/drawing/2014/chart" uri="{C3380CC4-5D6E-409C-BE32-E72D297353CC}">
              <c16:uniqueId val="{00000006-8C2F-447E-898D-92340750A705}"/>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1661160</xdr:colOff>
      <xdr:row>125</xdr:row>
      <xdr:rowOff>22860</xdr:rowOff>
    </xdr:from>
    <xdr:to>
      <xdr:col>0</xdr:col>
      <xdr:colOff>4290060</xdr:colOff>
      <xdr:row>138</xdr:row>
      <xdr:rowOff>83820</xdr:rowOff>
    </xdr:to>
    <xdr:sp macro="" textlink="">
      <xdr:nvSpPr>
        <xdr:cNvPr id="6" name="Rectangle 5"/>
        <xdr:cNvSpPr/>
      </xdr:nvSpPr>
      <xdr:spPr>
        <a:xfrm rot="10800000" flipV="1">
          <a:off x="1661160" y="22882860"/>
          <a:ext cx="2628900" cy="2438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1645920</xdr:colOff>
      <xdr:row>125</xdr:row>
      <xdr:rowOff>53340</xdr:rowOff>
    </xdr:from>
    <xdr:to>
      <xdr:col>0</xdr:col>
      <xdr:colOff>4282440</xdr:colOff>
      <xdr:row>127</xdr:row>
      <xdr:rowOff>60960</xdr:rowOff>
    </xdr:to>
    <xdr:sp macro="" textlink="">
      <xdr:nvSpPr>
        <xdr:cNvPr id="8" name="Rectangle 7"/>
        <xdr:cNvSpPr/>
      </xdr:nvSpPr>
      <xdr:spPr>
        <a:xfrm>
          <a:off x="1645920" y="22913340"/>
          <a:ext cx="2636520" cy="3733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Count of Products</a:t>
          </a:r>
        </a:p>
      </xdr:txBody>
    </xdr:sp>
    <xdr:clientData/>
  </xdr:twoCellAnchor>
  <xdr:twoCellAnchor>
    <xdr:from>
      <xdr:col>0</xdr:col>
      <xdr:colOff>1668780</xdr:colOff>
      <xdr:row>127</xdr:row>
      <xdr:rowOff>60960</xdr:rowOff>
    </xdr:from>
    <xdr:to>
      <xdr:col>0</xdr:col>
      <xdr:colOff>4282440</xdr:colOff>
      <xdr:row>129</xdr:row>
      <xdr:rowOff>167640</xdr:rowOff>
    </xdr:to>
    <xdr:sp macro="" textlink="$B$120">
      <xdr:nvSpPr>
        <xdr:cNvPr id="10" name="Rectangle 9"/>
        <xdr:cNvSpPr/>
      </xdr:nvSpPr>
      <xdr:spPr>
        <a:xfrm>
          <a:off x="1668780" y="23286720"/>
          <a:ext cx="2613660" cy="4724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908ADF4-4D63-4F01-965F-5CD3C6C44964}" type="TxLink">
            <a:rPr lang="en-US" sz="2000" b="0" i="0" u="none" strike="noStrike">
              <a:solidFill>
                <a:srgbClr val="000000"/>
              </a:solidFill>
              <a:latin typeface="Calibri"/>
              <a:cs typeface="Calibri"/>
            </a:rPr>
            <a:pPr algn="ctr"/>
            <a:t> 109.0 </a:t>
          </a:fld>
          <a:endParaRPr lang="en-US" sz="2000"/>
        </a:p>
      </xdr:txBody>
    </xdr:sp>
    <xdr:clientData/>
  </xdr:twoCellAnchor>
  <xdr:twoCellAnchor>
    <xdr:from>
      <xdr:col>0</xdr:col>
      <xdr:colOff>1668780</xdr:colOff>
      <xdr:row>129</xdr:row>
      <xdr:rowOff>160020</xdr:rowOff>
    </xdr:from>
    <xdr:to>
      <xdr:col>0</xdr:col>
      <xdr:colOff>4274820</xdr:colOff>
      <xdr:row>132</xdr:row>
      <xdr:rowOff>38100</xdr:rowOff>
    </xdr:to>
    <xdr:sp macro="" textlink="">
      <xdr:nvSpPr>
        <xdr:cNvPr id="15" name="Rectangle 14"/>
        <xdr:cNvSpPr/>
      </xdr:nvSpPr>
      <xdr:spPr>
        <a:xfrm>
          <a:off x="1668780" y="23751540"/>
          <a:ext cx="2606040" cy="4267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Calibri"/>
              <a:cs typeface="Calibri"/>
            </a:rPr>
            <a:t>Average</a:t>
          </a:r>
          <a:r>
            <a:rPr lang="en-US" sz="2000" b="0" i="0" u="none" strike="noStrike" baseline="0">
              <a:solidFill>
                <a:srgbClr val="000000"/>
              </a:solidFill>
              <a:latin typeface="Calibri"/>
              <a:cs typeface="Calibri"/>
            </a:rPr>
            <a:t> Rating</a:t>
          </a:r>
          <a:endParaRPr lang="en-US" sz="2000" b="0" i="0" u="none" strike="noStrike">
            <a:solidFill>
              <a:srgbClr val="000000"/>
            </a:solidFill>
            <a:latin typeface="Calibri"/>
            <a:cs typeface="Calibri"/>
          </a:endParaRPr>
        </a:p>
      </xdr:txBody>
    </xdr:sp>
    <xdr:clientData/>
  </xdr:twoCellAnchor>
  <xdr:twoCellAnchor>
    <xdr:from>
      <xdr:col>0</xdr:col>
      <xdr:colOff>1661160</xdr:colOff>
      <xdr:row>132</xdr:row>
      <xdr:rowOff>38100</xdr:rowOff>
    </xdr:from>
    <xdr:to>
      <xdr:col>0</xdr:col>
      <xdr:colOff>4305300</xdr:colOff>
      <xdr:row>134</xdr:row>
      <xdr:rowOff>22860</xdr:rowOff>
    </xdr:to>
    <xdr:sp macro="" textlink="$C$114">
      <xdr:nvSpPr>
        <xdr:cNvPr id="16" name="Rectangle 15"/>
        <xdr:cNvSpPr/>
      </xdr:nvSpPr>
      <xdr:spPr>
        <a:xfrm>
          <a:off x="1661160" y="24178260"/>
          <a:ext cx="2644140" cy="350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E774A52-4472-447E-ABD1-4070190A0016}" type="TxLink">
            <a:rPr lang="en-US" sz="2000" b="0" i="0" u="none" strike="noStrike">
              <a:solidFill>
                <a:srgbClr val="000000"/>
              </a:solidFill>
              <a:latin typeface="Calibri"/>
              <a:cs typeface="Calibri"/>
            </a:rPr>
            <a:pPr algn="ctr"/>
            <a:t> 3.89 </a:t>
          </a:fld>
          <a:endParaRPr lang="en-US" sz="2000"/>
        </a:p>
      </xdr:txBody>
    </xdr:sp>
    <xdr:clientData/>
  </xdr:twoCellAnchor>
  <xdr:twoCellAnchor>
    <xdr:from>
      <xdr:col>0</xdr:col>
      <xdr:colOff>1676400</xdr:colOff>
      <xdr:row>127</xdr:row>
      <xdr:rowOff>68580</xdr:rowOff>
    </xdr:from>
    <xdr:to>
      <xdr:col>0</xdr:col>
      <xdr:colOff>4290060</xdr:colOff>
      <xdr:row>129</xdr:row>
      <xdr:rowOff>175260</xdr:rowOff>
    </xdr:to>
    <xdr:sp macro="" textlink="$B$120">
      <xdr:nvSpPr>
        <xdr:cNvPr id="17" name="Rectangle 16"/>
        <xdr:cNvSpPr/>
      </xdr:nvSpPr>
      <xdr:spPr>
        <a:xfrm>
          <a:off x="1676400" y="23294340"/>
          <a:ext cx="2613660" cy="4724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908ADF4-4D63-4F01-965F-5CD3C6C44964}" type="TxLink">
            <a:rPr lang="en-US" sz="2000" b="0" i="0" u="none" strike="noStrike">
              <a:solidFill>
                <a:srgbClr val="000000"/>
              </a:solidFill>
              <a:latin typeface="Calibri"/>
              <a:cs typeface="Calibri"/>
            </a:rPr>
            <a:pPr algn="ctr"/>
            <a:t> 109.0 </a:t>
          </a:fld>
          <a:endParaRPr lang="en-US" sz="2000"/>
        </a:p>
      </xdr:txBody>
    </xdr:sp>
    <xdr:clientData/>
  </xdr:twoCellAnchor>
  <xdr:twoCellAnchor>
    <xdr:from>
      <xdr:col>0</xdr:col>
      <xdr:colOff>1668780</xdr:colOff>
      <xdr:row>132</xdr:row>
      <xdr:rowOff>45720</xdr:rowOff>
    </xdr:from>
    <xdr:to>
      <xdr:col>0</xdr:col>
      <xdr:colOff>4145280</xdr:colOff>
      <xdr:row>134</xdr:row>
      <xdr:rowOff>30480</xdr:rowOff>
    </xdr:to>
    <xdr:sp macro="" textlink="$C$114">
      <xdr:nvSpPr>
        <xdr:cNvPr id="18" name="Rectangle 17"/>
        <xdr:cNvSpPr/>
      </xdr:nvSpPr>
      <xdr:spPr>
        <a:xfrm>
          <a:off x="1668780" y="24185880"/>
          <a:ext cx="2476500" cy="350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E774A52-4472-447E-ABD1-4070190A0016}" type="TxLink">
            <a:rPr lang="en-US" sz="2000" b="0" i="0" u="none" strike="noStrike">
              <a:solidFill>
                <a:srgbClr val="000000"/>
              </a:solidFill>
              <a:latin typeface="Calibri"/>
              <a:cs typeface="Calibri"/>
            </a:rPr>
            <a:pPr algn="ctr"/>
            <a:t> 3.89 </a:t>
          </a:fld>
          <a:endParaRPr lang="en-US" sz="2000"/>
        </a:p>
      </xdr:txBody>
    </xdr:sp>
    <xdr:clientData/>
  </xdr:twoCellAnchor>
  <xdr:twoCellAnchor>
    <xdr:from>
      <xdr:col>0</xdr:col>
      <xdr:colOff>1661160</xdr:colOff>
      <xdr:row>134</xdr:row>
      <xdr:rowOff>45720</xdr:rowOff>
    </xdr:from>
    <xdr:to>
      <xdr:col>0</xdr:col>
      <xdr:colOff>4297680</xdr:colOff>
      <xdr:row>136</xdr:row>
      <xdr:rowOff>76200</xdr:rowOff>
    </xdr:to>
    <xdr:sp macro="" textlink="">
      <xdr:nvSpPr>
        <xdr:cNvPr id="19" name="Rectangle 18"/>
        <xdr:cNvSpPr/>
      </xdr:nvSpPr>
      <xdr:spPr>
        <a:xfrm>
          <a:off x="1661160" y="24551640"/>
          <a:ext cx="2636520" cy="396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Calibri"/>
              <a:cs typeface="Calibri"/>
            </a:rPr>
            <a:t>Number of Reviews</a:t>
          </a:r>
        </a:p>
      </xdr:txBody>
    </xdr:sp>
    <xdr:clientData/>
  </xdr:twoCellAnchor>
  <xdr:twoCellAnchor>
    <xdr:from>
      <xdr:col>0</xdr:col>
      <xdr:colOff>1691640</xdr:colOff>
      <xdr:row>136</xdr:row>
      <xdr:rowOff>76200</xdr:rowOff>
    </xdr:from>
    <xdr:to>
      <xdr:col>0</xdr:col>
      <xdr:colOff>4320540</xdr:colOff>
      <xdr:row>138</xdr:row>
      <xdr:rowOff>60960</xdr:rowOff>
    </xdr:to>
    <xdr:sp macro="" textlink="$E$114">
      <xdr:nvSpPr>
        <xdr:cNvPr id="20" name="Rectangle 19"/>
        <xdr:cNvSpPr/>
      </xdr:nvSpPr>
      <xdr:spPr>
        <a:xfrm>
          <a:off x="1691640" y="24947880"/>
          <a:ext cx="2628900" cy="350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DE42CE7-FB56-41E4-9417-6E4627C47154}" type="TxLink">
            <a:rPr lang="en-US" sz="2000" b="0" i="0" u="none" strike="noStrike">
              <a:solidFill>
                <a:srgbClr val="000000"/>
              </a:solidFill>
              <a:latin typeface="Calibri"/>
              <a:cs typeface="Calibri"/>
            </a:rPr>
            <a:pPr algn="ctr"/>
            <a:t>1383</a:t>
          </a:fld>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60960</xdr:colOff>
      <xdr:row>9</xdr:row>
      <xdr:rowOff>76199</xdr:rowOff>
    </xdr:to>
    <mc:AlternateContent xmlns:mc="http://schemas.openxmlformats.org/markup-compatibility/2006" xmlns:a14="http://schemas.microsoft.com/office/drawing/2010/main">
      <mc:Choice Requires="a14">
        <xdr:graphicFrame macro="">
          <xdr:nvGraphicFramePr>
            <xdr:cNvPr id="2"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548640"/>
              <a:ext cx="188976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9</xdr:row>
      <xdr:rowOff>114300</xdr:rowOff>
    </xdr:from>
    <xdr:to>
      <xdr:col>3</xdr:col>
      <xdr:colOff>60960</xdr:colOff>
      <xdr:row>16</xdr:row>
      <xdr:rowOff>53341</xdr:rowOff>
    </xdr:to>
    <mc:AlternateContent xmlns:mc="http://schemas.openxmlformats.org/markup-compatibility/2006" xmlns:a14="http://schemas.microsoft.com/office/drawing/2010/main">
      <mc:Choice Requires="a14">
        <xdr:graphicFrame macro="">
          <xdr:nvGraphicFramePr>
            <xdr:cNvPr id="3"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620" y="1851660"/>
              <a:ext cx="188214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7</xdr:row>
      <xdr:rowOff>129540</xdr:rowOff>
    </xdr:from>
    <xdr:to>
      <xdr:col>8</xdr:col>
      <xdr:colOff>266700</xdr:colOff>
      <xdr:row>23</xdr:row>
      <xdr:rowOff>121920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7</xdr:row>
      <xdr:rowOff>137160</xdr:rowOff>
    </xdr:from>
    <xdr:to>
      <xdr:col>14</xdr:col>
      <xdr:colOff>541020</xdr:colOff>
      <xdr:row>23</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1249680</xdr:colOff>
      <xdr:row>7</xdr:row>
      <xdr:rowOff>83820</xdr:rowOff>
    </xdr:from>
    <xdr:to>
      <xdr:col>21</xdr:col>
      <xdr:colOff>76200</xdr:colOff>
      <xdr:row>23</xdr:row>
      <xdr:rowOff>53340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25</xdr:row>
      <xdr:rowOff>144780</xdr:rowOff>
    </xdr:from>
    <xdr:to>
      <xdr:col>8</xdr:col>
      <xdr:colOff>121920</xdr:colOff>
      <xdr:row>37</xdr:row>
      <xdr:rowOff>60960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556260</xdr:colOff>
      <xdr:row>26</xdr:row>
      <xdr:rowOff>22860</xdr:rowOff>
    </xdr:from>
    <xdr:to>
      <xdr:col>14</xdr:col>
      <xdr:colOff>358140</xdr:colOff>
      <xdr:row>37</xdr:row>
      <xdr:rowOff>144780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1059180</xdr:colOff>
      <xdr:row>25</xdr:row>
      <xdr:rowOff>53340</xdr:rowOff>
    </xdr:from>
    <xdr:to>
      <xdr:col>20</xdr:col>
      <xdr:colOff>548640</xdr:colOff>
      <xdr:row>37</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53.572081018516" createdVersion="6" refreshedVersion="6" minRefreshableVersion="3" recordCount="109">
  <cacheSource type="worksheet">
    <worksheetSource name="Table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Angle Measuring Tool Full Metal Multi Angle Measuring Tool"/>
        <s v="12V 19500rpm Handheld Electric Angle Grinder Tool - UK - Yellow/Black"/>
        <s v="Simple Metal Dog Art Sculpture Decoration For Home Office"/>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65">
      <sharedItems containsSemiMixedTypes="0" containsString="0" containsNumber="1" minValue="1" maxValue="69"/>
    </cacheField>
    <cacheField name="Rating" numFmtId="164">
      <sharedItems containsSemiMixedTypes="0" containsString="0" containsNumber="1" minValue="2" maxValue="5"/>
    </cacheField>
    <cacheField name="Discount Amount (KSh)" numFmtId="3">
      <sharedItems containsSemiMixedTypes="0" containsString="0" containsNumber="1" containsInteger="1" minValue="24" maxValue="2585"/>
    </cacheField>
    <cacheField name="Rating Category" numFmtId="0">
      <sharedItems count="3">
        <s v="Excelent"/>
        <s v="Average"/>
        <s v="Poor"/>
      </sharedItems>
    </cacheField>
    <cacheField name="Discount Category" numFmtId="0">
      <sharedItems count="3">
        <s v="Medium"/>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
  <r>
    <x v="0"/>
    <n v="950"/>
    <n v="1525"/>
    <n v="0.38"/>
    <n v="2"/>
    <n v="4.5"/>
    <n v="575"/>
    <x v="0"/>
    <x v="0"/>
  </r>
  <r>
    <x v="1"/>
    <n v="527"/>
    <n v="999"/>
    <n v="0.47"/>
    <n v="14"/>
    <n v="4.0999999999999996"/>
    <n v="472"/>
    <x v="1"/>
    <x v="1"/>
  </r>
  <r>
    <x v="2"/>
    <n v="2199"/>
    <n v="2923"/>
    <n v="0.25"/>
    <n v="24"/>
    <n v="4.5999999999999996"/>
    <n v="724"/>
    <x v="0"/>
    <x v="0"/>
  </r>
  <r>
    <x v="3"/>
    <n v="1580"/>
    <n v="2499"/>
    <n v="0.37"/>
    <n v="7"/>
    <n v="4.7"/>
    <n v="919"/>
    <x v="0"/>
    <x v="0"/>
  </r>
  <r>
    <x v="4"/>
    <n v="1740"/>
    <n v="2356"/>
    <n v="0.26"/>
    <n v="5"/>
    <n v="4.8"/>
    <n v="616"/>
    <x v="0"/>
    <x v="0"/>
  </r>
  <r>
    <x v="5"/>
    <n v="2999"/>
    <n v="3290"/>
    <n v="0.09"/>
    <n v="15"/>
    <n v="4"/>
    <n v="291"/>
    <x v="1"/>
    <x v="2"/>
  </r>
  <r>
    <x v="6"/>
    <n v="2319"/>
    <n v="3032"/>
    <n v="0.24"/>
    <n v="55"/>
    <n v="4.5999999999999996"/>
    <n v="713"/>
    <x v="0"/>
    <x v="0"/>
  </r>
  <r>
    <x v="7"/>
    <n v="988"/>
    <n v="1580"/>
    <n v="0.37"/>
    <n v="2"/>
    <n v="4"/>
    <n v="592"/>
    <x v="1"/>
    <x v="0"/>
  </r>
  <r>
    <x v="8"/>
    <n v="1274"/>
    <n v="2800"/>
    <n v="0.55000000000000004"/>
    <n v="5"/>
    <n v="4.8"/>
    <n v="1526"/>
    <x v="0"/>
    <x v="1"/>
  </r>
  <r>
    <x v="9"/>
    <n v="1600"/>
    <n v="2929"/>
    <n v="0.45"/>
    <n v="5"/>
    <n v="3.8"/>
    <n v="1329"/>
    <x v="1"/>
    <x v="1"/>
  </r>
  <r>
    <x v="10"/>
    <n v="799"/>
    <n v="999"/>
    <n v="0.2"/>
    <n v="12"/>
    <n v="4.0999999999999996"/>
    <n v="200"/>
    <x v="1"/>
    <x v="2"/>
  </r>
  <r>
    <x v="11"/>
    <n v="990"/>
    <n v="1500"/>
    <n v="0.34"/>
    <n v="39"/>
    <n v="4.7"/>
    <n v="510"/>
    <x v="0"/>
    <x v="0"/>
  </r>
  <r>
    <x v="12"/>
    <n v="552"/>
    <n v="1035"/>
    <n v="0.47"/>
    <n v="12"/>
    <n v="4.8"/>
    <n v="483"/>
    <x v="0"/>
    <x v="1"/>
  </r>
  <r>
    <x v="13"/>
    <n v="501"/>
    <n v="860"/>
    <n v="0.42"/>
    <n v="6"/>
    <n v="4.5"/>
    <n v="359"/>
    <x v="0"/>
    <x v="1"/>
  </r>
  <r>
    <x v="14"/>
    <n v="1680"/>
    <n v="2499"/>
    <n v="0.33"/>
    <n v="9"/>
    <n v="4.2"/>
    <n v="819"/>
    <x v="1"/>
    <x v="0"/>
  </r>
  <r>
    <x v="15"/>
    <n v="332"/>
    <n v="684"/>
    <n v="0.51"/>
    <n v="2"/>
    <n v="5"/>
    <n v="352"/>
    <x v="0"/>
    <x v="1"/>
  </r>
  <r>
    <x v="16"/>
    <n v="195"/>
    <n v="360"/>
    <n v="0.46"/>
    <n v="2"/>
    <n v="5"/>
    <n v="165"/>
    <x v="0"/>
    <x v="1"/>
  </r>
  <r>
    <x v="17"/>
    <n v="2025"/>
    <n v="3971"/>
    <n v="0.49"/>
    <n v="3"/>
    <n v="5"/>
    <n v="1946"/>
    <x v="0"/>
    <x v="1"/>
  </r>
  <r>
    <x v="18"/>
    <n v="2999"/>
    <n v="3699"/>
    <n v="0.19"/>
    <n v="5"/>
    <n v="4.5999999999999996"/>
    <n v="700"/>
    <x v="0"/>
    <x v="2"/>
  </r>
  <r>
    <x v="19"/>
    <n v="998"/>
    <n v="1966"/>
    <n v="0.49"/>
    <n v="44"/>
    <n v="4.5999999999999996"/>
    <n v="968"/>
    <x v="0"/>
    <x v="1"/>
  </r>
  <r>
    <x v="20"/>
    <n v="38"/>
    <n v="80"/>
    <n v="0.53"/>
    <n v="13"/>
    <n v="3.3"/>
    <n v="42"/>
    <x v="1"/>
    <x v="1"/>
  </r>
  <r>
    <x v="21"/>
    <n v="1860"/>
    <n v="3220"/>
    <n v="0.42"/>
    <n v="12.684210526315789"/>
    <n v="3.8894736842105258"/>
    <n v="1360"/>
    <x v="1"/>
    <x v="1"/>
  </r>
  <r>
    <x v="22"/>
    <n v="880"/>
    <n v="1350"/>
    <n v="0.35"/>
    <n v="6"/>
    <n v="4"/>
    <n v="470"/>
    <x v="1"/>
    <x v="0"/>
  </r>
  <r>
    <x v="23"/>
    <n v="1650"/>
    <n v="2150"/>
    <n v="0.23"/>
    <n v="14"/>
    <n v="4.4000000000000004"/>
    <n v="500"/>
    <x v="1"/>
    <x v="0"/>
  </r>
  <r>
    <x v="24"/>
    <n v="2048"/>
    <n v="4500"/>
    <n v="0.54"/>
    <n v="7"/>
    <n v="4.3"/>
    <n v="2452"/>
    <x v="1"/>
    <x v="1"/>
  </r>
  <r>
    <x v="25"/>
    <n v="420"/>
    <n v="647"/>
    <n v="0.35"/>
    <n v="49"/>
    <n v="4.5999999999999996"/>
    <n v="227"/>
    <x v="0"/>
    <x v="0"/>
  </r>
  <r>
    <x v="26"/>
    <n v="2880"/>
    <n v="3520"/>
    <n v="0.18"/>
    <n v="12"/>
    <n v="3.8"/>
    <n v="640"/>
    <x v="1"/>
    <x v="2"/>
  </r>
  <r>
    <x v="27"/>
    <n v="1350"/>
    <n v="1990"/>
    <n v="0.32"/>
    <n v="13"/>
    <n v="3.8"/>
    <n v="640"/>
    <x v="1"/>
    <x v="0"/>
  </r>
  <r>
    <x v="28"/>
    <n v="1758"/>
    <n v="2499"/>
    <n v="0.3"/>
    <n v="20"/>
    <n v="4.0999999999999996"/>
    <n v="741"/>
    <x v="1"/>
    <x v="0"/>
  </r>
  <r>
    <x v="29"/>
    <n v="2200"/>
    <n v="4080"/>
    <n v="0.46"/>
    <n v="12.684210526315789"/>
    <n v="3.8894736842105258"/>
    <n v="1880"/>
    <x v="1"/>
    <x v="1"/>
  </r>
  <r>
    <x v="30"/>
    <n v="185"/>
    <n v="382"/>
    <n v="0.52"/>
    <n v="9"/>
    <n v="4.3"/>
    <n v="197"/>
    <x v="1"/>
    <x v="1"/>
  </r>
  <r>
    <x v="31"/>
    <n v="980"/>
    <n v="1490"/>
    <n v="0.34"/>
    <n v="12"/>
    <n v="4.7"/>
    <n v="510"/>
    <x v="0"/>
    <x v="0"/>
  </r>
  <r>
    <x v="32"/>
    <n v="1820"/>
    <n v="3490"/>
    <n v="0.48"/>
    <n v="9"/>
    <n v="4.3"/>
    <n v="1670"/>
    <x v="1"/>
    <x v="1"/>
  </r>
  <r>
    <x v="33"/>
    <n v="1940"/>
    <n v="2650"/>
    <n v="0.27"/>
    <n v="20"/>
    <n v="4.7"/>
    <n v="710"/>
    <x v="0"/>
    <x v="0"/>
  </r>
  <r>
    <x v="34"/>
    <n v="1980"/>
    <n v="2699"/>
    <n v="0.27"/>
    <n v="32"/>
    <n v="4.5"/>
    <n v="719"/>
    <x v="0"/>
    <x v="0"/>
  </r>
  <r>
    <x v="35"/>
    <n v="1620"/>
    <n v="2690"/>
    <n v="0.4"/>
    <n v="1"/>
    <n v="5"/>
    <n v="1070"/>
    <x v="0"/>
    <x v="0"/>
  </r>
  <r>
    <x v="36"/>
    <n v="171"/>
    <n v="360"/>
    <n v="0.53"/>
    <n v="2"/>
    <n v="5"/>
    <n v="189"/>
    <x v="0"/>
    <x v="1"/>
  </r>
  <r>
    <x v="37"/>
    <n v="389"/>
    <n v="656"/>
    <n v="0.41"/>
    <n v="36"/>
    <n v="4.3"/>
    <n v="267"/>
    <x v="1"/>
    <x v="1"/>
  </r>
  <r>
    <x v="38"/>
    <n v="1620"/>
    <n v="2200"/>
    <n v="0.38"/>
    <n v="2"/>
    <n v="4.5"/>
    <n v="580"/>
    <x v="0"/>
    <x v="0"/>
  </r>
  <r>
    <x v="39"/>
    <n v="2750"/>
    <n v="4471"/>
    <n v="0.38"/>
    <n v="12.684210526315789"/>
    <n v="3.8894736842105258"/>
    <n v="1721"/>
    <x v="1"/>
    <x v="0"/>
  </r>
  <r>
    <x v="40"/>
    <n v="475"/>
    <n v="931"/>
    <n v="0.49"/>
    <n v="12.684210526315789"/>
    <n v="3.8894736842105258"/>
    <n v="456"/>
    <x v="1"/>
    <x v="1"/>
  </r>
  <r>
    <x v="41"/>
    <n v="238"/>
    <n v="476"/>
    <n v="0.5"/>
    <n v="12.684210526315789"/>
    <n v="3.8894736842105258"/>
    <n v="238"/>
    <x v="1"/>
    <x v="1"/>
  </r>
  <r>
    <x v="42"/>
    <n v="610"/>
    <n v="1060"/>
    <n v="0.42"/>
    <n v="12.684210526315789"/>
    <n v="3.8894736842105258"/>
    <n v="450"/>
    <x v="1"/>
    <x v="1"/>
  </r>
  <r>
    <x v="43"/>
    <n v="2132"/>
    <n v="2169"/>
    <n v="0.02"/>
    <n v="12.684210526315789"/>
    <n v="3.8894736842105258"/>
    <n v="37"/>
    <x v="1"/>
    <x v="2"/>
  </r>
  <r>
    <x v="44"/>
    <n v="999"/>
    <n v="2000"/>
    <n v="0.5"/>
    <n v="12.684210526315789"/>
    <n v="3.8894736842105258"/>
    <n v="1001"/>
    <x v="1"/>
    <x v="1"/>
  </r>
  <r>
    <x v="45"/>
    <n v="1190"/>
    <n v="1785"/>
    <n v="0.33"/>
    <n v="12.684210526315789"/>
    <n v="3.8894736842105258"/>
    <n v="595"/>
    <x v="1"/>
    <x v="0"/>
  </r>
  <r>
    <x v="46"/>
    <n v="671"/>
    <n v="1316"/>
    <n v="0.49"/>
    <n v="12.684210526315789"/>
    <n v="3.8894736842105258"/>
    <n v="645"/>
    <x v="1"/>
    <x v="1"/>
  </r>
  <r>
    <x v="47"/>
    <n v="1200"/>
    <n v="1950"/>
    <n v="0.38"/>
    <n v="12.684210526315789"/>
    <n v="3.8894736842105258"/>
    <n v="750"/>
    <x v="1"/>
    <x v="0"/>
  </r>
  <r>
    <x v="48"/>
    <n v="199"/>
    <n v="504"/>
    <n v="0.61"/>
    <n v="12.684210526315789"/>
    <n v="3.8894736842105258"/>
    <n v="305"/>
    <x v="1"/>
    <x v="1"/>
  </r>
  <r>
    <x v="49"/>
    <n v="299"/>
    <n v="600"/>
    <n v="0.5"/>
    <n v="12.684210526315789"/>
    <n v="3.8894736842105258"/>
    <n v="301"/>
    <x v="1"/>
    <x v="1"/>
  </r>
  <r>
    <x v="50"/>
    <n v="1660"/>
    <n v="1699"/>
    <n v="0.02"/>
    <n v="12.684210526315789"/>
    <n v="3.8894736842105258"/>
    <n v="39"/>
    <x v="1"/>
    <x v="2"/>
  </r>
  <r>
    <x v="51"/>
    <n v="299"/>
    <n v="384"/>
    <n v="0.22"/>
    <n v="12.684210526315789"/>
    <n v="3.8894736842105258"/>
    <n v="85"/>
    <x v="1"/>
    <x v="0"/>
  </r>
  <r>
    <x v="52"/>
    <n v="1459"/>
    <n v="1499"/>
    <n v="0.03"/>
    <n v="12.684210526315789"/>
    <n v="3.8894736842105258"/>
    <n v="40"/>
    <x v="1"/>
    <x v="2"/>
  </r>
  <r>
    <x v="53"/>
    <n v="799"/>
    <n v="1343"/>
    <n v="0.41"/>
    <n v="12.684210526315789"/>
    <n v="3.8894736842105258"/>
    <n v="544"/>
    <x v="1"/>
    <x v="1"/>
  </r>
  <r>
    <x v="54"/>
    <n v="699"/>
    <n v="1343"/>
    <n v="0.48"/>
    <n v="12.684210526315789"/>
    <n v="3.8894736842105258"/>
    <n v="644"/>
    <x v="1"/>
    <x v="1"/>
  </r>
  <r>
    <x v="55"/>
    <n v="799"/>
    <n v="1567"/>
    <n v="0.49"/>
    <n v="12.684210526315789"/>
    <n v="3.8894736842105258"/>
    <n v="768"/>
    <x v="1"/>
    <x v="1"/>
  </r>
  <r>
    <x v="56"/>
    <n v="2799"/>
    <n v="3810"/>
    <n v="0.27"/>
    <n v="12.684210526315789"/>
    <n v="3.8894736842105258"/>
    <n v="1011"/>
    <x v="1"/>
    <x v="0"/>
  </r>
  <r>
    <x v="57"/>
    <n v="399"/>
    <n v="896"/>
    <n v="0.55000000000000004"/>
    <n v="12.684210526315789"/>
    <n v="3.8894736842105258"/>
    <n v="497"/>
    <x v="1"/>
    <x v="1"/>
  </r>
  <r>
    <x v="58"/>
    <n v="2170"/>
    <n v="2500"/>
    <n v="0.13"/>
    <n v="6"/>
    <n v="2.5"/>
    <n v="330"/>
    <x v="2"/>
    <x v="2"/>
  </r>
  <r>
    <x v="59"/>
    <n v="458"/>
    <n v="986"/>
    <n v="0.54"/>
    <n v="10"/>
    <n v="3"/>
    <n v="528"/>
    <x v="1"/>
    <x v="1"/>
  </r>
  <r>
    <x v="60"/>
    <n v="2115"/>
    <n v="4700"/>
    <n v="0.55000000000000004"/>
    <n v="13"/>
    <n v="2.1"/>
    <n v="2585"/>
    <x v="2"/>
    <x v="1"/>
  </r>
  <r>
    <x v="61"/>
    <n v="445"/>
    <n v="873"/>
    <n v="0.49"/>
    <n v="69"/>
    <n v="2.8"/>
    <n v="428"/>
    <x v="2"/>
    <x v="1"/>
  </r>
  <r>
    <x v="62"/>
    <n v="325"/>
    <n v="680"/>
    <n v="0.52"/>
    <n v="15"/>
    <n v="2.7"/>
    <n v="355"/>
    <x v="2"/>
    <x v="1"/>
  </r>
  <r>
    <x v="63"/>
    <n v="1220"/>
    <n v="1555"/>
    <n v="0.22"/>
    <n v="16"/>
    <n v="2.9"/>
    <n v="335"/>
    <x v="2"/>
    <x v="0"/>
  </r>
  <r>
    <x v="64"/>
    <n v="990"/>
    <n v="1814"/>
    <n v="0.45"/>
    <n v="6"/>
    <n v="2.2000000000000002"/>
    <n v="824"/>
    <x v="2"/>
    <x v="1"/>
  </r>
  <r>
    <x v="65"/>
    <n v="1000"/>
    <n v="2000"/>
    <n v="0.5"/>
    <n v="7"/>
    <n v="2.2999999999999998"/>
    <n v="1000"/>
    <x v="2"/>
    <x v="1"/>
  </r>
  <r>
    <x v="66"/>
    <n v="3750"/>
    <n v="6143"/>
    <n v="0.39"/>
    <n v="5"/>
    <n v="3"/>
    <n v="2393"/>
    <x v="1"/>
    <x v="0"/>
  </r>
  <r>
    <x v="67"/>
    <n v="382"/>
    <n v="700"/>
    <n v="0.45"/>
    <n v="17"/>
    <n v="2.6"/>
    <n v="318"/>
    <x v="2"/>
    <x v="1"/>
  </r>
  <r>
    <x v="68"/>
    <n v="2300"/>
    <n v="3240"/>
    <n v="0.28999999999999998"/>
    <n v="5"/>
    <n v="3"/>
    <n v="940"/>
    <x v="1"/>
    <x v="0"/>
  </r>
  <r>
    <x v="69"/>
    <n v="345"/>
    <n v="602"/>
    <n v="0.43"/>
    <n v="6"/>
    <n v="2.2999999999999998"/>
    <n v="257"/>
    <x v="2"/>
    <x v="1"/>
  </r>
  <r>
    <x v="70"/>
    <n v="509"/>
    <n v="899"/>
    <n v="0.43"/>
    <n v="5"/>
    <n v="3"/>
    <n v="390"/>
    <x v="1"/>
    <x v="1"/>
  </r>
  <r>
    <x v="71"/>
    <n v="968"/>
    <n v="1814"/>
    <n v="0.47"/>
    <n v="6"/>
    <n v="2.2000000000000002"/>
    <n v="846"/>
    <x v="2"/>
    <x v="1"/>
  </r>
  <r>
    <x v="72"/>
    <n v="1570"/>
    <n v="2988"/>
    <n v="0.47"/>
    <n v="7"/>
    <n v="2.1"/>
    <n v="1418"/>
    <x v="2"/>
    <x v="1"/>
  </r>
  <r>
    <x v="73"/>
    <n v="790"/>
    <n v="1485"/>
    <n v="0.47"/>
    <n v="12.684210526315789"/>
    <n v="3.8894736842105258"/>
    <n v="695"/>
    <x v="1"/>
    <x v="1"/>
  </r>
  <r>
    <x v="74"/>
    <n v="690"/>
    <n v="1200"/>
    <n v="0.43"/>
    <n v="12.684210526315789"/>
    <n v="3.8894736842105258"/>
    <n v="510"/>
    <x v="1"/>
    <x v="1"/>
  </r>
  <r>
    <x v="75"/>
    <n v="1732"/>
    <n v="1799"/>
    <n v="0.04"/>
    <n v="12.684210526315789"/>
    <n v="3.8894736842105258"/>
    <n v="67"/>
    <x v="1"/>
    <x v="2"/>
  </r>
  <r>
    <x v="76"/>
    <n v="230"/>
    <n v="450"/>
    <n v="0.49"/>
    <n v="12.684210526315789"/>
    <n v="3.8894736842105258"/>
    <n v="220"/>
    <x v="1"/>
    <x v="1"/>
  </r>
  <r>
    <x v="77"/>
    <n v="1189"/>
    <n v="2199"/>
    <n v="0.46"/>
    <n v="1"/>
    <n v="3"/>
    <n v="1010"/>
    <x v="1"/>
    <x v="1"/>
  </r>
  <r>
    <x v="78"/>
    <n v="979"/>
    <n v="1920"/>
    <n v="0.49"/>
    <n v="1"/>
    <n v="5"/>
    <n v="941"/>
    <x v="0"/>
    <x v="1"/>
  </r>
  <r>
    <x v="79"/>
    <n v="1460"/>
    <n v="2290"/>
    <n v="0.36"/>
    <n v="12.684210526315789"/>
    <n v="3.8894736842105258"/>
    <n v="830"/>
    <x v="1"/>
    <x v="0"/>
  </r>
  <r>
    <x v="80"/>
    <n v="1666"/>
    <n v="1699"/>
    <n v="0.02"/>
    <n v="12.684210526315789"/>
    <n v="3.8894736842105258"/>
    <n v="33"/>
    <x v="1"/>
    <x v="2"/>
  </r>
  <r>
    <x v="81"/>
    <n v="330"/>
    <n v="647"/>
    <n v="0.49"/>
    <n v="1"/>
    <n v="4"/>
    <n v="317"/>
    <x v="1"/>
    <x v="1"/>
  </r>
  <r>
    <x v="82"/>
    <n v="1466"/>
    <n v="1699"/>
    <n v="0.14000000000000001"/>
    <n v="12.684210526315789"/>
    <n v="3.8894736842105258"/>
    <n v="233"/>
    <x v="1"/>
    <x v="2"/>
  </r>
  <r>
    <x v="83"/>
    <n v="274"/>
    <n v="537"/>
    <n v="0.49"/>
    <n v="12.684210526315789"/>
    <n v="3.8894736842105258"/>
    <n v="263"/>
    <x v="1"/>
    <x v="1"/>
  </r>
  <r>
    <x v="84"/>
    <n v="799"/>
    <n v="900"/>
    <n v="0.11"/>
    <n v="12.684210526315789"/>
    <n v="3.8894736842105258"/>
    <n v="101"/>
    <x v="1"/>
    <x v="2"/>
  </r>
  <r>
    <x v="85"/>
    <n v="1468"/>
    <n v="1699"/>
    <n v="0.14000000000000001"/>
    <n v="12.684210526315789"/>
    <n v="3.8894736842105258"/>
    <n v="231"/>
    <x v="1"/>
    <x v="2"/>
  </r>
  <r>
    <x v="86"/>
    <n v="630"/>
    <n v="1100"/>
    <n v="0.43"/>
    <n v="12.684210526315789"/>
    <n v="3.8894736842105258"/>
    <n v="470"/>
    <x v="1"/>
    <x v="1"/>
  </r>
  <r>
    <x v="87"/>
    <n v="850"/>
    <n v="1700"/>
    <n v="0.5"/>
    <n v="12.684210526315789"/>
    <n v="3.8894736842105258"/>
    <n v="850"/>
    <x v="1"/>
    <x v="1"/>
  </r>
  <r>
    <x v="88"/>
    <n v="1300"/>
    <n v="2500"/>
    <n v="0.48"/>
    <n v="12.684210526315789"/>
    <n v="3.8894736842105258"/>
    <n v="1200"/>
    <x v="1"/>
    <x v="1"/>
  </r>
  <r>
    <x v="89"/>
    <n v="105"/>
    <n v="200"/>
    <n v="0.48"/>
    <n v="12.684210526315789"/>
    <n v="3.8894736842105258"/>
    <n v="95"/>
    <x v="1"/>
    <x v="1"/>
  </r>
  <r>
    <x v="90"/>
    <n v="899"/>
    <n v="1699"/>
    <n v="0.47"/>
    <n v="12.684210526315789"/>
    <n v="3.8894736842105258"/>
    <n v="800"/>
    <x v="1"/>
    <x v="1"/>
  </r>
  <r>
    <x v="91"/>
    <n v="1200"/>
    <n v="2400"/>
    <n v="0.5"/>
    <n v="12.684210526315789"/>
    <n v="3.8894736842105258"/>
    <n v="1200"/>
    <x v="1"/>
    <x v="1"/>
  </r>
  <r>
    <x v="92"/>
    <n v="1526"/>
    <n v="1660"/>
    <n v="0.08"/>
    <n v="12.684210526315789"/>
    <n v="3.8894736842105258"/>
    <n v="134"/>
    <x v="1"/>
    <x v="2"/>
  </r>
  <r>
    <x v="93"/>
    <n v="1462"/>
    <n v="1499"/>
    <n v="0.02"/>
    <n v="12.684210526315789"/>
    <n v="3.8894736842105258"/>
    <n v="37"/>
    <x v="1"/>
    <x v="2"/>
  </r>
  <r>
    <x v="94"/>
    <n v="248"/>
    <n v="486"/>
    <n v="0.49"/>
    <n v="12.684210526315789"/>
    <n v="3.8894736842105258"/>
    <n v="238"/>
    <x v="1"/>
    <x v="1"/>
  </r>
  <r>
    <x v="95"/>
    <n v="3546"/>
    <n v="3699"/>
    <n v="0.04"/>
    <n v="12.684210526315789"/>
    <n v="3.8894736842105258"/>
    <n v="153"/>
    <x v="1"/>
    <x v="2"/>
  </r>
  <r>
    <x v="96"/>
    <n v="525"/>
    <n v="1029"/>
    <n v="0.49"/>
    <n v="12.684210526315789"/>
    <n v="3.8894736842105258"/>
    <n v="504"/>
    <x v="1"/>
    <x v="1"/>
  </r>
  <r>
    <x v="97"/>
    <n v="1080"/>
    <n v="1874"/>
    <n v="0.42"/>
    <n v="12.684210526315789"/>
    <n v="3.8894736842105258"/>
    <n v="794"/>
    <x v="1"/>
    <x v="1"/>
  </r>
  <r>
    <x v="98"/>
    <n v="3640"/>
    <n v="4588"/>
    <n v="0.21"/>
    <n v="1"/>
    <n v="5"/>
    <n v="948"/>
    <x v="0"/>
    <x v="0"/>
  </r>
  <r>
    <x v="99"/>
    <n v="1420"/>
    <n v="2420"/>
    <n v="0.41"/>
    <n v="12.684210526315789"/>
    <n v="3.8894736842105258"/>
    <n v="1000"/>
    <x v="1"/>
    <x v="1"/>
  </r>
  <r>
    <x v="100"/>
    <n v="1875"/>
    <n v="1899"/>
    <n v="0.01"/>
    <n v="12.684210526315789"/>
    <n v="3.8894736842105258"/>
    <n v="24"/>
    <x v="1"/>
    <x v="2"/>
  </r>
  <r>
    <x v="101"/>
    <n v="198"/>
    <n v="260"/>
    <n v="0.24"/>
    <n v="12.684210526315789"/>
    <n v="3.8894736842105258"/>
    <n v="62"/>
    <x v="1"/>
    <x v="0"/>
  </r>
  <r>
    <x v="102"/>
    <n v="1150"/>
    <n v="1737"/>
    <n v="0.34"/>
    <n v="12.684210526315789"/>
    <n v="3.8894736842105258"/>
    <n v="587"/>
    <x v="1"/>
    <x v="0"/>
  </r>
  <r>
    <x v="103"/>
    <n v="1190"/>
    <n v="1810"/>
    <n v="0.34"/>
    <n v="12.684210526315789"/>
    <n v="3.8894736842105258"/>
    <n v="620"/>
    <x v="1"/>
    <x v="0"/>
  </r>
  <r>
    <x v="104"/>
    <n v="1658"/>
    <n v="1699"/>
    <n v="0.02"/>
    <n v="12.684210526315789"/>
    <n v="3.8894736842105258"/>
    <n v="41"/>
    <x v="1"/>
    <x v="2"/>
  </r>
  <r>
    <x v="105"/>
    <n v="1768"/>
    <n v="1799"/>
    <n v="0.02"/>
    <n v="12.684210526315789"/>
    <n v="3.8894736842105258"/>
    <n v="31"/>
    <x v="1"/>
    <x v="2"/>
  </r>
  <r>
    <x v="106"/>
    <n v="199"/>
    <n v="553"/>
    <n v="0.64"/>
    <n v="12.684210526315789"/>
    <n v="3.8894736842105258"/>
    <n v="354"/>
    <x v="1"/>
    <x v="1"/>
  </r>
  <r>
    <x v="107"/>
    <n v="450"/>
    <n v="900"/>
    <n v="0.5"/>
    <n v="1"/>
    <n v="2"/>
    <n v="450"/>
    <x v="2"/>
    <x v="1"/>
  </r>
  <r>
    <x v="108"/>
    <n v="169"/>
    <n v="320"/>
    <n v="0.47"/>
    <n v="12.684210526315789"/>
    <n v="3.8894736842105258"/>
    <n v="15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D6" firstHeaderRow="0" firstDataRow="1" firstDataCol="1"/>
  <pivotFields count="9">
    <pivotField showAll="0"/>
    <pivotField showAll="0"/>
    <pivotField showAll="0"/>
    <pivotField dataField="1" numFmtId="9" showAll="0"/>
    <pivotField numFmtId="165" showAll="0"/>
    <pivotField dataField="1" numFmtId="164" showAll="0"/>
    <pivotField numFmtId="3" showAll="0"/>
    <pivotField showAll="0">
      <items count="4">
        <item x="1"/>
        <item x="0"/>
        <item x="2"/>
        <item t="default"/>
      </items>
    </pivotField>
    <pivotField axis="axisRow" showAll="0">
      <items count="4">
        <item x="1"/>
        <item x="2"/>
        <item x="0"/>
        <item t="default"/>
      </items>
    </pivotField>
  </pivotFields>
  <rowFields count="1">
    <field x="8"/>
  </rowFields>
  <rowItems count="3">
    <i>
      <x/>
    </i>
    <i>
      <x v="1"/>
    </i>
    <i>
      <x v="2"/>
    </i>
  </rowItems>
  <colFields count="1">
    <field x="-2"/>
  </colFields>
  <colItems count="3">
    <i>
      <x/>
    </i>
    <i i="1">
      <x v="1"/>
    </i>
    <i i="2">
      <x v="2"/>
    </i>
  </colItems>
  <dataFields count="3">
    <dataField name="Average of Discount" fld="3" subtotal="average" baseField="8" baseItem="0"/>
    <dataField name="Count of Discount" fld="3" subtotal="count" baseField="8" baseItem="0" numFmtId="165"/>
    <dataField name="Average of Rating" fld="5" subtotal="average" baseField="8" baseItem="0" numFmtId="43"/>
  </dataFields>
  <formats count="6">
    <format dxfId="197">
      <pivotArea collapsedLevelsAreSubtotals="1" fieldPosition="0">
        <references count="1">
          <reference field="8" count="0"/>
        </references>
      </pivotArea>
    </format>
    <format dxfId="196">
      <pivotArea grandRow="1" outline="0" collapsedLevelsAreSubtotals="1" fieldPosition="0"/>
    </format>
    <format dxfId="195">
      <pivotArea outline="0" collapsedLevelsAreSubtotals="1" fieldPosition="0">
        <references count="1">
          <reference field="4294967294" count="1" selected="0">
            <x v="1"/>
          </reference>
        </references>
      </pivotArea>
    </format>
    <format dxfId="194">
      <pivotArea outline="0" collapsedLevelsAreSubtotals="1" fieldPosition="0">
        <references count="1">
          <reference field="4294967294" count="1" selected="0">
            <x v="1"/>
          </reference>
        </references>
      </pivotArea>
    </format>
    <format dxfId="193">
      <pivotArea outline="0" collapsedLevelsAreSubtotals="1" fieldPosition="0">
        <references count="1">
          <reference field="4294967294" count="1" selected="0">
            <x v="1"/>
          </reference>
        </references>
      </pivotArea>
    </format>
    <format dxfId="19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9">
    <pivotField dataField="1" showAll="0"/>
    <pivotField showAll="0"/>
    <pivotField showAll="0"/>
    <pivotField numFmtId="9" showAll="0"/>
    <pivotField numFmtId="165" showAll="0"/>
    <pivotField numFmtId="164" showAll="0"/>
    <pivotField numFmtId="3" showAll="0"/>
    <pivotField axis="axisRow" showAll="0">
      <items count="4">
        <item x="1"/>
        <item x="0"/>
        <item x="2"/>
        <item t="default"/>
      </items>
    </pivotField>
    <pivotField showAll="0">
      <items count="4">
        <item x="1"/>
        <item x="2"/>
        <item x="0"/>
        <item t="default"/>
      </items>
    </pivotField>
  </pivotFields>
  <rowFields count="1">
    <field x="7"/>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13" firstHeaderRow="0" firstDataRow="1" firstDataCol="1"/>
  <pivotFields count="9">
    <pivotField axis="axisRow" dataField="1" showAll="0">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dataField="1" numFmtId="9" showAll="0"/>
    <pivotField dataField="1" numFmtId="165" showAll="0"/>
    <pivotField dataField="1" numFmtId="164" showAll="0"/>
    <pivotField numFmtId="3" showAll="0"/>
    <pivotField showAll="0">
      <items count="4">
        <item x="1"/>
        <item x="0"/>
        <item x="2"/>
        <item t="default"/>
      </items>
    </pivotField>
    <pivotField showAll="0">
      <items count="4">
        <item x="1"/>
        <item x="2"/>
        <item x="0"/>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4">
    <i>
      <x/>
    </i>
    <i i="1">
      <x v="1"/>
    </i>
    <i i="2">
      <x v="2"/>
    </i>
    <i i="3">
      <x v="3"/>
    </i>
  </colItems>
  <dataFields count="4">
    <dataField name="Count of Product" fld="0" subtotal="count" baseField="0" baseItem="0"/>
    <dataField name="Average of Rating" fld="5" subtotal="average" baseField="0" baseItem="7"/>
    <dataField name="Average of Discount" fld="3" subtotal="average" baseField="0" baseItem="20"/>
    <dataField name="Sum of Review" fld="4" baseField="0" baseItem="0"/>
  </dataFields>
  <formats count="3">
    <format dxfId="191">
      <pivotArea outline="0" collapsedLevelsAreSubtotals="1" fieldPosition="0"/>
    </format>
    <format dxfId="190">
      <pivotArea dataOnly="0" labelOnly="1" outline="0" axis="axisValues"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3" firstHeaderRow="1" firstDataRow="1" firstDataCol="1"/>
  <pivotFields count="9">
    <pivotField axis="axisRow" showAll="0"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numFmtId="165" showAll="0"/>
    <pivotField dataField="1" numFmtId="164" showAll="0" sortType="descending"/>
    <pivotField numFmtId="3" showAll="0"/>
    <pivotField showAll="0">
      <items count="4">
        <item x="1"/>
        <item x="0"/>
        <item x="2"/>
        <item t="default"/>
      </items>
    </pivotField>
    <pivotField showAll="0">
      <items count="4">
        <item x="1"/>
        <item x="2"/>
        <item x="0"/>
        <item t="default"/>
      </items>
    </pivotField>
  </pivotFields>
  <rowFields count="1">
    <field x="0"/>
  </rowFields>
  <rowItems count="110">
    <i>
      <x v="57"/>
    </i>
    <i>
      <x v="68"/>
    </i>
    <i>
      <x v="65"/>
    </i>
    <i>
      <x v="40"/>
    </i>
    <i>
      <x v="87"/>
    </i>
    <i>
      <x v="52"/>
    </i>
    <i>
      <x v="44"/>
    </i>
    <i>
      <x v="70"/>
    </i>
    <i>
      <x v="90"/>
    </i>
    <i>
      <x v="22"/>
    </i>
    <i>
      <x v="28"/>
    </i>
    <i>
      <x v="107"/>
    </i>
    <i>
      <x v="1"/>
    </i>
    <i>
      <x v="4"/>
    </i>
    <i>
      <x v="8"/>
    </i>
    <i>
      <x v="75"/>
    </i>
    <i>
      <x v="18"/>
    </i>
    <i>
      <x v="91"/>
    </i>
    <i>
      <x v="59"/>
    </i>
    <i>
      <x v="27"/>
    </i>
    <i>
      <x v="2"/>
    </i>
    <i>
      <x v="69"/>
    </i>
    <i>
      <x/>
    </i>
    <i>
      <x v="61"/>
    </i>
    <i>
      <x v="72"/>
    </i>
    <i>
      <x v="95"/>
    </i>
    <i>
      <x v="60"/>
    </i>
    <i>
      <x v="67"/>
    </i>
    <i>
      <x v="80"/>
    </i>
    <i>
      <x v="26"/>
    </i>
    <i>
      <x v="77"/>
    </i>
    <i>
      <x v="62"/>
    </i>
    <i>
      <x v="11"/>
    </i>
    <i>
      <x v="56"/>
    </i>
    <i>
      <x v="73"/>
    </i>
    <i>
      <x v="63"/>
    </i>
    <i>
      <x v="82"/>
    </i>
    <i>
      <x v="42"/>
    </i>
    <i>
      <x v="29"/>
    </i>
    <i>
      <x v="48"/>
    </i>
    <i>
      <x v="78"/>
    </i>
    <i>
      <x v="49"/>
    </i>
    <i>
      <x v="10"/>
    </i>
    <i>
      <x v="50"/>
    </i>
    <i>
      <x v="71"/>
    </i>
    <i>
      <x v="51"/>
    </i>
    <i>
      <x v="43"/>
    </i>
    <i>
      <x v="14"/>
    </i>
    <i>
      <x v="45"/>
    </i>
    <i>
      <x v="53"/>
    </i>
    <i>
      <x v="85"/>
    </i>
    <i>
      <x v="15"/>
    </i>
    <i>
      <x v="89"/>
    </i>
    <i>
      <x v="55"/>
    </i>
    <i>
      <x v="37"/>
    </i>
    <i>
      <x v="39"/>
    </i>
    <i>
      <x v="34"/>
    </i>
    <i>
      <x v="6"/>
    </i>
    <i>
      <x v="74"/>
    </i>
    <i>
      <x v="19"/>
    </i>
    <i>
      <x v="13"/>
    </i>
    <i>
      <x v="32"/>
    </i>
    <i>
      <x v="79"/>
    </i>
    <i>
      <x v="33"/>
    </i>
    <i>
      <x v="81"/>
    </i>
    <i>
      <x v="12"/>
    </i>
    <i>
      <x v="83"/>
    </i>
    <i>
      <x v="92"/>
    </i>
    <i>
      <x v="86"/>
    </i>
    <i>
      <x v="94"/>
    </i>
    <i>
      <x v="88"/>
    </i>
    <i>
      <x v="96"/>
    </i>
    <i>
      <x v="46"/>
    </i>
    <i>
      <x v="98"/>
    </i>
    <i>
      <x v="47"/>
    </i>
    <i>
      <x v="100"/>
    </i>
    <i>
      <x v="36"/>
    </i>
    <i>
      <x v="21"/>
    </i>
    <i>
      <x v="97"/>
    </i>
    <i>
      <x v="103"/>
    </i>
    <i>
      <x v="99"/>
    </i>
    <i>
      <x v="105"/>
    </i>
    <i>
      <x v="102"/>
    </i>
    <i>
      <x v="23"/>
    </i>
    <i>
      <x v="24"/>
    </i>
    <i>
      <x v="31"/>
    </i>
    <i>
      <x v="9"/>
    </i>
    <i>
      <x v="54"/>
    </i>
    <i>
      <x v="7"/>
    </i>
    <i>
      <x v="93"/>
    </i>
    <i>
      <x v="3"/>
    </i>
    <i>
      <x v="20"/>
    </i>
    <i>
      <x v="16"/>
    </i>
    <i>
      <x v="84"/>
    </i>
    <i>
      <x v="108"/>
    </i>
    <i>
      <x v="76"/>
    </i>
    <i>
      <x v="66"/>
    </i>
    <i>
      <x v="101"/>
    </i>
    <i>
      <x v="5"/>
    </i>
    <i>
      <x v="64"/>
    </i>
    <i>
      <x v="38"/>
    </i>
    <i>
      <x v="25"/>
    </i>
    <i>
      <x v="106"/>
    </i>
    <i>
      <x v="17"/>
    </i>
    <i>
      <x v="35"/>
    </i>
    <i>
      <x v="41"/>
    </i>
    <i>
      <x v="58"/>
    </i>
    <i>
      <x v="30"/>
    </i>
    <i>
      <x v="104"/>
    </i>
    <i t="grand">
      <x/>
    </i>
  </rowItems>
  <colItems count="1">
    <i/>
  </colItems>
  <dataFields count="1">
    <dataField name="Sum of Rating" fld="5" baseField="0" baseItem="0" numFmtId="164"/>
  </dataFields>
  <formats count="3">
    <format dxfId="188">
      <pivotArea outline="0" collapsedLevelsAreSubtotals="1" fieldPosition="0"/>
    </format>
    <format dxfId="187">
      <pivotArea dataOnly="0" labelOnly="1" outline="0" axis="axisValues"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85:B189" firstHeaderRow="1" firstDataRow="1" firstDataCol="1"/>
  <pivotFields count="9">
    <pivotField dataField="1" showAll="0">
      <items count="110">
        <item x="11"/>
        <item x="0"/>
        <item x="27"/>
        <item x="38"/>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numFmtId="9" showAll="0"/>
    <pivotField numFmtId="165" showAll="0"/>
    <pivotField numFmtId="164" showAll="0"/>
    <pivotField numFmtId="3"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8"/>
  </rowFields>
  <rowItems count="4">
    <i>
      <x/>
    </i>
    <i>
      <x v="2"/>
    </i>
    <i>
      <x v="1"/>
    </i>
    <i t="grand">
      <x/>
    </i>
  </rowItems>
  <colItems count="1">
    <i/>
  </colItems>
  <dataFields count="1">
    <dataField name="Count of Product" fld="0" subtotal="count" baseField="0" baseItem="0"/>
  </dataFields>
  <formats count="13">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 chart="5" format="4">
      <pivotArea type="data" outline="0" fieldPosition="0">
        <references count="2">
          <reference field="4294967294" count="1" selected="0">
            <x v="0"/>
          </reference>
          <reference field="8"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2"/>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1:B142" firstHeaderRow="1" firstDataRow="1" firstDataCol="1"/>
  <pivotFields count="9">
    <pivotField axis="axisRow" showAll="0" measureFilter="1"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numFmtId="165" showAll="0"/>
    <pivotField numFmtId="164" showAll="0"/>
    <pivotField numFmtId="3" showAll="0"/>
    <pivotField showAll="0">
      <items count="4">
        <item x="1"/>
        <item x="0"/>
        <item x="2"/>
        <item t="default"/>
      </items>
    </pivotField>
    <pivotField showAll="0">
      <items count="4">
        <item x="1"/>
        <item x="2"/>
        <item x="0"/>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formats count="13">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9">
    <pivotField showAll="0"/>
    <pivotField showAll="0"/>
    <pivotField showAll="0"/>
    <pivotField numFmtId="9" showAll="0"/>
    <pivotField dataField="1" numFmtId="165" showAll="0"/>
    <pivotField numFmtId="164" showAll="0"/>
    <pivotField numFmtId="3"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Sum of Review" fld="4" baseField="0" baseItem="0" numFmtId="165"/>
  </dataFields>
  <formats count="13">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9">
    <pivotField dataField="1" showAll="0"/>
    <pivotField showAll="0"/>
    <pivotField showAll="0"/>
    <pivotField numFmtId="9" showAll="0"/>
    <pivotField numFmtId="165" showAll="0"/>
    <pivotField numFmtId="164" showAll="0"/>
    <pivotField numFmtId="3"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7:C387" firstHeaderRow="0" firstDataRow="1" firstDataCol="1"/>
  <pivotFields count="9">
    <pivotField axis="axisRow" showAll="0">
      <items count="110">
        <item x="11"/>
        <item x="0"/>
        <item x="27"/>
        <item x="38"/>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numFmtId="9" showAll="0"/>
    <pivotField dataField="1" numFmtId="165" showAll="0"/>
    <pivotField dataField="1" numFmtId="164" showAll="0"/>
    <pivotField numFmtId="3" showAll="0"/>
    <pivotField showAll="0"/>
    <pivotField showAll="0">
      <items count="4">
        <item x="1"/>
        <item x="2"/>
        <item x="0"/>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2">
    <i>
      <x/>
    </i>
    <i i="1">
      <x v="1"/>
    </i>
  </colItems>
  <dataFields count="2">
    <dataField name="Sum of Review" fld="4" baseField="0" baseItem="0" numFmtId="165"/>
    <dataField name="Average of Rating" fld="5" subtotal="average" baseField="0" baseItem="0" numFmtId="43"/>
  </dataFields>
  <formats count="18">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collapsedLevelsAreSubtotals="1" fieldPosition="0">
        <references count="1">
          <reference field="0" count="0"/>
        </references>
      </pivotArea>
    </format>
    <format dxfId="54">
      <pivotArea outline="0" collapsedLevelsAreSubtotals="1" fieldPosition="0">
        <references count="1">
          <reference field="4294967294" count="1" selected="0">
            <x v="0"/>
          </reference>
        </references>
      </pivotArea>
    </format>
    <format dxfId="53">
      <pivotArea outline="0" collapsedLevelsAreSubtotals="1" fieldPosition="0">
        <references count="1">
          <reference field="4294967294" count="1" selected="0">
            <x v="0"/>
          </reference>
        </references>
      </pivotArea>
    </format>
    <format dxfId="52">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7:B401" firstHeaderRow="1" firstDataRow="1" firstDataCol="1"/>
  <pivotFields count="9">
    <pivotField dataField="1" showAll="0"/>
    <pivotField showAll="0"/>
    <pivotField showAll="0"/>
    <pivotField numFmtId="9" showAll="0"/>
    <pivotField numFmtId="165" showAll="0"/>
    <pivotField numFmtId="164" showAll="0"/>
    <pivotField numFmtId="3" showAll="0"/>
    <pivotField showAll="0">
      <items count="4">
        <item x="1"/>
        <item x="0"/>
        <item x="2"/>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formats count="13">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9">
    <pivotField showAll="0"/>
    <pivotField showAll="0"/>
    <pivotField showAll="0"/>
    <pivotField numFmtId="9" showAll="0"/>
    <pivotField numFmtId="165" showAll="0"/>
    <pivotField dataField="1" numFmtId="164" showAll="0"/>
    <pivotField numFmtId="3"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Rating" fld="5" subtotal="average" baseField="0" baseItem="442451496" numFmtId="2"/>
  </dataFields>
  <formats count="9">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9:B161" firstHeaderRow="1" firstDataRow="1" firstDataCol="1"/>
  <pivotFields count="9">
    <pivotField axis="axisRow" showAll="0" measureFilter="1"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dataField="1" numFmtId="9" showAll="0"/>
    <pivotField numFmtId="165" showAll="0"/>
    <pivotField numFmtId="164" showAll="0"/>
    <pivotField numFmtId="3" showAll="0"/>
    <pivotField showAll="0"/>
    <pivotField showAll="0">
      <items count="4">
        <item x="1"/>
        <item x="2"/>
        <item x="0"/>
        <item t="default"/>
      </items>
    </pivotField>
  </pivotFields>
  <rowFields count="1">
    <field x="0"/>
  </rowFields>
  <rowItems count="12">
    <i>
      <x v="31"/>
    </i>
    <i>
      <x v="53"/>
    </i>
    <i>
      <x v="30"/>
    </i>
    <i>
      <x v="70"/>
    </i>
    <i>
      <x v="99"/>
    </i>
    <i>
      <x v="84"/>
    </i>
    <i>
      <x v="67"/>
    </i>
    <i>
      <x v="52"/>
    </i>
    <i>
      <x v="20"/>
    </i>
    <i>
      <x v="64"/>
    </i>
    <i>
      <x v="60"/>
    </i>
    <i t="grand">
      <x/>
    </i>
  </rowItems>
  <colItems count="1">
    <i/>
  </colItems>
  <dataFields count="1">
    <dataField name="Average of Discount" fld="3" subtotal="average" baseField="0" baseItem="0"/>
  </dataFields>
  <formats count="14">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78:B182" firstHeaderRow="1" firstDataRow="1" firstDataCol="1"/>
  <pivotFields count="9">
    <pivotField dataField="1" showAll="0">
      <items count="110">
        <item x="11"/>
        <item x="0"/>
        <item x="27"/>
        <item x="38"/>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numFmtId="9" showAll="0"/>
    <pivotField numFmtId="165" showAll="0"/>
    <pivotField numFmtId="164" showAll="0"/>
    <pivotField numFmtId="3" showAll="0"/>
    <pivotField axis="axisRow" showAll="0">
      <items count="4">
        <item x="1"/>
        <item x="0"/>
        <item x="2"/>
        <item t="default"/>
      </items>
    </pivotField>
    <pivotField showAll="0">
      <items count="4">
        <item x="1"/>
        <item x="2"/>
        <item x="0"/>
        <item t="default"/>
      </items>
    </pivotField>
  </pivotFields>
  <rowFields count="1">
    <field x="7"/>
  </rowFields>
  <rowItems count="4">
    <i>
      <x/>
    </i>
    <i>
      <x v="1"/>
    </i>
    <i>
      <x v="2"/>
    </i>
    <i t="grand">
      <x/>
    </i>
  </rowItems>
  <colItems count="1">
    <i/>
  </colItems>
  <dataFields count="1">
    <dataField name="Count of Product" fld="0" subtotal="count" baseField="0" baseItem="0"/>
  </dataFields>
  <formats count="13">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129" firstHeaderRow="1" firstDataRow="1" firstDataCol="1"/>
  <pivotFields count="9">
    <pivotField axis="axisRow" showAll="0"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numFmtId="165" showAll="0"/>
    <pivotField dataField="1" numFmtId="164" showAll="0"/>
    <pivotField numFmtId="3" showAll="0"/>
    <pivotField showAll="0">
      <items count="4">
        <item x="1"/>
        <item x="0"/>
        <item x="2"/>
        <item t="default"/>
      </items>
    </pivotField>
    <pivotField showAll="0">
      <items count="4">
        <item x="1"/>
        <item x="2"/>
        <item x="0"/>
        <item t="default"/>
      </items>
    </pivotField>
  </pivotFields>
  <rowFields count="1">
    <field x="0"/>
  </rowFields>
  <rowItems count="110">
    <i>
      <x v="57"/>
    </i>
    <i>
      <x v="68"/>
    </i>
    <i>
      <x v="65"/>
    </i>
    <i>
      <x v="40"/>
    </i>
    <i>
      <x v="87"/>
    </i>
    <i>
      <x v="52"/>
    </i>
    <i>
      <x v="44"/>
    </i>
    <i>
      <x v="70"/>
    </i>
    <i>
      <x v="90"/>
    </i>
    <i>
      <x v="22"/>
    </i>
    <i>
      <x v="28"/>
    </i>
    <i>
      <x v="107"/>
    </i>
    <i>
      <x v="1"/>
    </i>
    <i>
      <x v="4"/>
    </i>
    <i>
      <x v="8"/>
    </i>
    <i>
      <x v="75"/>
    </i>
    <i>
      <x v="18"/>
    </i>
    <i>
      <x v="91"/>
    </i>
    <i>
      <x v="59"/>
    </i>
    <i>
      <x v="27"/>
    </i>
    <i>
      <x v="2"/>
    </i>
    <i>
      <x v="69"/>
    </i>
    <i>
      <x/>
    </i>
    <i>
      <x v="61"/>
    </i>
    <i>
      <x v="72"/>
    </i>
    <i>
      <x v="95"/>
    </i>
    <i>
      <x v="60"/>
    </i>
    <i>
      <x v="67"/>
    </i>
    <i>
      <x v="80"/>
    </i>
    <i>
      <x v="26"/>
    </i>
    <i>
      <x v="77"/>
    </i>
    <i>
      <x v="62"/>
    </i>
    <i>
      <x v="11"/>
    </i>
    <i>
      <x v="56"/>
    </i>
    <i>
      <x v="73"/>
    </i>
    <i>
      <x v="63"/>
    </i>
    <i>
      <x v="82"/>
    </i>
    <i>
      <x v="42"/>
    </i>
    <i>
      <x v="29"/>
    </i>
    <i>
      <x v="48"/>
    </i>
    <i>
      <x v="78"/>
    </i>
    <i>
      <x v="49"/>
    </i>
    <i>
      <x v="10"/>
    </i>
    <i>
      <x v="50"/>
    </i>
    <i>
      <x v="71"/>
    </i>
    <i>
      <x v="51"/>
    </i>
    <i>
      <x v="43"/>
    </i>
    <i>
      <x v="14"/>
    </i>
    <i>
      <x v="45"/>
    </i>
    <i>
      <x v="53"/>
    </i>
    <i>
      <x v="85"/>
    </i>
    <i>
      <x v="15"/>
    </i>
    <i>
      <x v="89"/>
    </i>
    <i>
      <x v="55"/>
    </i>
    <i>
      <x v="37"/>
    </i>
    <i>
      <x v="39"/>
    </i>
    <i>
      <x v="34"/>
    </i>
    <i>
      <x v="6"/>
    </i>
    <i>
      <x v="74"/>
    </i>
    <i>
      <x v="19"/>
    </i>
    <i>
      <x v="13"/>
    </i>
    <i>
      <x v="32"/>
    </i>
    <i>
      <x v="79"/>
    </i>
    <i>
      <x v="33"/>
    </i>
    <i>
      <x v="81"/>
    </i>
    <i>
      <x v="12"/>
    </i>
    <i>
      <x v="83"/>
    </i>
    <i>
      <x v="92"/>
    </i>
    <i>
      <x v="86"/>
    </i>
    <i>
      <x v="94"/>
    </i>
    <i>
      <x v="88"/>
    </i>
    <i>
      <x v="96"/>
    </i>
    <i>
      <x v="46"/>
    </i>
    <i>
      <x v="98"/>
    </i>
    <i>
      <x v="47"/>
    </i>
    <i>
      <x v="100"/>
    </i>
    <i>
      <x v="36"/>
    </i>
    <i>
      <x v="21"/>
    </i>
    <i>
      <x v="97"/>
    </i>
    <i>
      <x v="103"/>
    </i>
    <i>
      <x v="99"/>
    </i>
    <i>
      <x v="105"/>
    </i>
    <i>
      <x v="102"/>
    </i>
    <i>
      <x v="23"/>
    </i>
    <i>
      <x v="24"/>
    </i>
    <i>
      <x v="31"/>
    </i>
    <i>
      <x v="9"/>
    </i>
    <i>
      <x v="54"/>
    </i>
    <i>
      <x v="7"/>
    </i>
    <i>
      <x v="93"/>
    </i>
    <i>
      <x v="3"/>
    </i>
    <i>
      <x v="20"/>
    </i>
    <i>
      <x v="16"/>
    </i>
    <i>
      <x v="84"/>
    </i>
    <i>
      <x v="108"/>
    </i>
    <i>
      <x v="76"/>
    </i>
    <i>
      <x v="66"/>
    </i>
    <i>
      <x v="101"/>
    </i>
    <i>
      <x v="5"/>
    </i>
    <i>
      <x v="64"/>
    </i>
    <i>
      <x v="38"/>
    </i>
    <i>
      <x v="25"/>
    </i>
    <i>
      <x v="106"/>
    </i>
    <i>
      <x v="17"/>
    </i>
    <i>
      <x v="35"/>
    </i>
    <i>
      <x v="41"/>
    </i>
    <i>
      <x v="58"/>
    </i>
    <i>
      <x v="30"/>
    </i>
    <i>
      <x v="104"/>
    </i>
    <i t="grand">
      <x/>
    </i>
  </rowItems>
  <colItems count="1">
    <i/>
  </colItems>
  <dataFields count="1">
    <dataField name="Average of Rating" fld="5" subtotal="average" baseField="0" baseItem="57"/>
  </dataFields>
  <formats count="13">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71:B175" firstHeaderRow="1" firstDataRow="1" firstDataCol="1"/>
  <pivotFields count="9">
    <pivotField showAll="0">
      <items count="110">
        <item x="11"/>
        <item x="0"/>
        <item x="27"/>
        <item x="38"/>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numFmtId="9" showAll="0"/>
    <pivotField dataField="1" numFmtId="165" showAll="0"/>
    <pivotField numFmtId="164" showAll="0"/>
    <pivotField numFmtId="3" showAll="0"/>
    <pivotField axis="axisRow" showAll="0">
      <items count="4">
        <item x="1"/>
        <item x="0"/>
        <item x="2"/>
        <item t="default"/>
      </items>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7"/>
  </rowFields>
  <rowItems count="4">
    <i>
      <x/>
    </i>
    <i>
      <x v="1"/>
    </i>
    <i>
      <x v="2"/>
    </i>
    <i t="grand">
      <x/>
    </i>
  </rowItems>
  <colItems count="1">
    <i/>
  </colItems>
  <dataFields count="1">
    <dataField name="Sum of Review" fld="4" baseField="0" baseItem="0" numFmtId="165"/>
  </dataFields>
  <formats count="16">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references count="1">
          <reference field="4294967294" count="1" selected="0">
            <x v="0"/>
          </reference>
        </references>
      </pivotArea>
    </format>
    <format dxfId="132">
      <pivotArea outline="0" collapsedLevelsAreSubtotals="1" fieldPosition="0">
        <references count="1">
          <reference field="4294967294" count="1" selected="0">
            <x v="0"/>
          </reference>
        </references>
      </pivotArea>
    </format>
    <format dxfId="131">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9">
    <pivotField showAll="0"/>
    <pivotField showAll="0"/>
    <pivotField showAll="0"/>
    <pivotField dataField="1" numFmtId="9" showAll="0"/>
    <pivotField numFmtId="165" showAll="0"/>
    <pivotField numFmtId="164" showAll="0"/>
    <pivotField numFmtId="3"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Discount" fld="3" subtotal="average" baseField="0" baseItem="442445160" numFmtId="9"/>
  </dataFields>
  <formats count="10">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0:B394" firstHeaderRow="1" firstDataRow="1" firstDataCol="1"/>
  <pivotFields count="9">
    <pivotField dataField="1" showAll="0"/>
    <pivotField showAll="0"/>
    <pivotField showAll="0"/>
    <pivotField numFmtId="9" showAll="0"/>
    <pivotField numFmtId="165" showAll="0"/>
    <pivotField numFmtId="164" showAll="0"/>
    <pivotField numFmtId="3" showAll="0"/>
    <pivotField axis="axisRow" showAll="0">
      <items count="4">
        <item x="1"/>
        <item x="0"/>
        <item x="2"/>
        <item t="default"/>
      </items>
    </pivotField>
    <pivotField showAll="0">
      <items count="4">
        <item x="1"/>
        <item x="2"/>
        <item x="0"/>
        <item t="default"/>
      </items>
    </pivotField>
  </pivotFields>
  <rowFields count="1">
    <field x="7"/>
  </rowFields>
  <rowItems count="4">
    <i>
      <x/>
    </i>
    <i>
      <x v="1"/>
    </i>
    <i>
      <x v="2"/>
    </i>
    <i t="grand">
      <x/>
    </i>
  </rowItems>
  <colItems count="1">
    <i/>
  </colItems>
  <dataFields count="1">
    <dataField name="Count of Product" fld="0" subtotal="count" baseField="0" baseItem="0"/>
  </dataFields>
  <formats count="13">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 dxfId="1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64:B168" firstHeaderRow="1" firstDataRow="1" firstDataCol="1"/>
  <pivotFields count="9">
    <pivotField showAll="0">
      <items count="110">
        <item x="11"/>
        <item x="0"/>
        <item x="27"/>
        <item x="38"/>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pivotField>
    <pivotField showAll="0"/>
    <pivotField showAll="0"/>
    <pivotField numFmtId="9" showAll="0"/>
    <pivotField dataField="1" numFmtId="165" showAll="0"/>
    <pivotField numFmtId="164" showAll="0"/>
    <pivotField numFmtId="3"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8"/>
  </rowFields>
  <rowItems count="4">
    <i>
      <x/>
    </i>
    <i>
      <x v="2"/>
    </i>
    <i>
      <x v="1"/>
    </i>
    <i t="grand">
      <x/>
    </i>
  </rowItems>
  <colItems count="1">
    <i/>
  </colItems>
  <dataFields count="1">
    <dataField name="Sum of Review" fld="4" baseField="0" baseItem="0" numFmtId="165"/>
  </dataFields>
  <formats count="16">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collapsedLevelsAreSubtotals="1" fieldPosition="0"/>
    </format>
    <format dxfId="174">
      <pivotArea outline="0" collapsedLevelsAreSubtotals="1" fieldPosition="0"/>
    </format>
    <format dxfId="173">
      <pivotArea outline="0" collapsedLevelsAreSubtotals="1" fieldPosition="0"/>
    </format>
    <format dxfId="172">
      <pivotArea outline="0" collapsedLevelsAreSubtotals="1" fieldPosition="0">
        <references count="1">
          <reference field="4294967294" count="1" selected="0">
            <x v="0"/>
          </reference>
        </references>
      </pivotArea>
    </format>
    <format dxfId="171">
      <pivotArea outline="0" collapsedLevelsAreSubtotals="1" fieldPosition="0">
        <references count="1">
          <reference field="4294967294" count="1" selected="0">
            <x v="0"/>
          </reference>
        </references>
      </pivotArea>
    </format>
    <format dxfId="170">
      <pivotArea outline="0" collapsedLevelsAreSubtotals="1" fieldPosition="0">
        <references count="1">
          <reference field="4294967294" count="1" selected="0">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7" name="PivotTable19"/>
    <pivotTable tabId="3" name="PivotTable1"/>
    <pivotTable tabId="4" name="PivotTable2"/>
    <pivotTable tabId="7" name="PivotTable10"/>
    <pivotTable tabId="7" name="PivotTable11"/>
    <pivotTable tabId="7" name="PivotTable12"/>
    <pivotTable tabId="7" name="PivotTable13"/>
    <pivotTable tabId="7" name="PivotTable14"/>
    <pivotTable tabId="7" name="PivotTable15"/>
    <pivotTable tabId="7" name="PivotTable20"/>
    <pivotTable tabId="5" name="PivotTable3"/>
    <pivotTable tabId="6" name="PivotTable4"/>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7" name="PivotTable19"/>
    <pivotTable tabId="3" name="PivotTable1"/>
    <pivotTable tabId="4" name="PivotTable2"/>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20"/>
    <pivotTable tabId="5" name="PivotTable3"/>
    <pivotTable tabId="6" name="PivotTable4"/>
    <pivotTable tabId="7" name="PivotTable21"/>
    <pivotTable tabId="7" name="PivotTable22"/>
    <pivotTable tabId="7" name="PivotTable23"/>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tegory" cache="Slicer_Rating_Category" caption="Rating Category" rowHeight="234950"/>
  <slicer name="Discount Category" cache="Slicer_Discount_Category" caption="Discount Category" rowHeight="234950"/>
</slicers>
</file>

<file path=xl/tables/table1.xml><?xml version="1.0" encoding="utf-8"?>
<table xmlns="http://schemas.openxmlformats.org/spreadsheetml/2006/main" id="1" name="Table1" displayName="Table1" ref="A1:I110" totalsRowShown="0" headerRowDxfId="10" dataDxfId="9">
  <autoFilter ref="A1:I110"/>
  <tableColumns count="9">
    <tableColumn id="1" name="Product" dataDxfId="8"/>
    <tableColumn id="2" name="Current price" dataDxfId="7"/>
    <tableColumn id="3" name="old price" dataDxfId="6"/>
    <tableColumn id="4" name="Discount" dataDxfId="5"/>
    <tableColumn id="5" name="Review" dataDxfId="4" dataCellStyle="Comma"/>
    <tableColumn id="6" name="Rating" dataDxfId="3" dataCellStyle="Comma"/>
    <tableColumn id="7" name="Discount Amount (KSh)" dataDxfId="2">
      <calculatedColumnFormula>C2-B2</calculatedColumnFormula>
    </tableColumn>
    <tableColumn id="8" name="Rating Category" dataDxfId="1">
      <calculatedColumnFormula>IF(F2&gt;=4.5,"Excelent",IF(F2&gt;=3,"Average","Poor"))</calculatedColumnFormula>
    </tableColumn>
    <tableColumn id="9" name="Discount Category" dataDxfId="0">
      <calculatedColumnFormula>IF(Table1[[#This Row],[Discount]]&gt;40%,"High",IF(Table1[[#This Row],[Discount]]&gt;20%,"Medium","Low"))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6"/>
  <sheetViews>
    <sheetView workbookViewId="0">
      <pane ySplit="1" topLeftCell="A2" activePane="bottomLeft" state="frozen"/>
      <selection pane="bottomLeft" activeCell="G1" sqref="G1:G1048576"/>
    </sheetView>
  </sheetViews>
  <sheetFormatPr defaultRowHeight="14.4" x14ac:dyDescent="0.3"/>
  <cols>
    <col min="1" max="1" width="87.88671875" bestFit="1" customWidth="1"/>
    <col min="2" max="2" width="18.33203125" style="3" bestFit="1" customWidth="1"/>
    <col min="3" max="3" width="18.33203125" bestFit="1" customWidth="1"/>
    <col min="4" max="4" width="8.109375" bestFit="1" customWidth="1"/>
    <col min="5" max="5" width="6.88671875" bestFit="1" customWidth="1"/>
    <col min="6" max="6" width="10.44140625" bestFit="1" customWidth="1"/>
    <col min="12" max="12" width="18.33203125" style="3" bestFit="1" customWidth="1"/>
    <col min="15" max="15" width="18.33203125" bestFit="1" customWidth="1"/>
  </cols>
  <sheetData>
    <row r="1" spans="1:16" x14ac:dyDescent="0.3">
      <c r="A1" t="s">
        <v>0</v>
      </c>
      <c r="B1" s="3" t="s">
        <v>1</v>
      </c>
      <c r="C1" t="s">
        <v>2</v>
      </c>
      <c r="D1" t="s">
        <v>3</v>
      </c>
      <c r="E1" t="s">
        <v>4</v>
      </c>
      <c r="F1" t="s">
        <v>5</v>
      </c>
      <c r="L1" s="3" t="s">
        <v>115</v>
      </c>
      <c r="M1" t="s">
        <v>116</v>
      </c>
      <c r="O1" t="s">
        <v>119</v>
      </c>
      <c r="P1" t="s">
        <v>116</v>
      </c>
    </row>
    <row r="2" spans="1:16" x14ac:dyDescent="0.3">
      <c r="A2" t="s">
        <v>6</v>
      </c>
      <c r="B2">
        <v>950</v>
      </c>
      <c r="C2" s="4">
        <v>1525</v>
      </c>
      <c r="D2" s="1">
        <v>0.38</v>
      </c>
      <c r="E2">
        <v>-2</v>
      </c>
      <c r="F2">
        <v>4.5</v>
      </c>
      <c r="G2" t="s">
        <v>120</v>
      </c>
      <c r="H2" t="s">
        <v>121</v>
      </c>
      <c r="I2">
        <v>5</v>
      </c>
      <c r="L2" s="3" t="s">
        <v>117</v>
      </c>
      <c r="M2">
        <v>950</v>
      </c>
      <c r="O2" t="s">
        <v>117</v>
      </c>
      <c r="P2" s="4">
        <v>1525</v>
      </c>
    </row>
    <row r="3" spans="1:16" x14ac:dyDescent="0.3">
      <c r="A3" t="s">
        <v>7</v>
      </c>
      <c r="B3">
        <v>527</v>
      </c>
      <c r="C3">
        <v>999</v>
      </c>
      <c r="D3" s="1">
        <v>0.47</v>
      </c>
      <c r="E3">
        <v>-14</v>
      </c>
      <c r="F3">
        <v>4.0999999999999996</v>
      </c>
      <c r="G3" t="s">
        <v>120</v>
      </c>
      <c r="H3" t="s">
        <v>121</v>
      </c>
      <c r="I3">
        <v>5</v>
      </c>
      <c r="L3" s="3" t="s">
        <v>117</v>
      </c>
      <c r="M3">
        <v>527</v>
      </c>
      <c r="O3" t="s">
        <v>117</v>
      </c>
      <c r="P3">
        <v>999</v>
      </c>
    </row>
    <row r="4" spans="1:16" x14ac:dyDescent="0.3">
      <c r="A4" t="s">
        <v>8</v>
      </c>
      <c r="B4" s="4">
        <v>2199</v>
      </c>
      <c r="C4" s="4">
        <v>2923</v>
      </c>
      <c r="D4" s="1">
        <v>0.25</v>
      </c>
      <c r="E4">
        <v>-24</v>
      </c>
      <c r="F4">
        <v>4.5999999999999996</v>
      </c>
      <c r="G4" t="s">
        <v>120</v>
      </c>
      <c r="H4" t="s">
        <v>121</v>
      </c>
      <c r="I4">
        <v>5</v>
      </c>
      <c r="L4" s="3" t="s">
        <v>117</v>
      </c>
      <c r="M4" s="4">
        <v>2199</v>
      </c>
      <c r="O4" t="s">
        <v>117</v>
      </c>
      <c r="P4" s="4">
        <v>2923</v>
      </c>
    </row>
    <row r="5" spans="1:16" x14ac:dyDescent="0.3">
      <c r="A5" t="s">
        <v>9</v>
      </c>
      <c r="B5" s="4">
        <v>1580</v>
      </c>
      <c r="C5" s="4">
        <v>2499</v>
      </c>
      <c r="D5" s="1">
        <v>0.37</v>
      </c>
      <c r="E5">
        <v>-7</v>
      </c>
      <c r="F5">
        <v>4.7</v>
      </c>
      <c r="G5" t="s">
        <v>120</v>
      </c>
      <c r="H5" t="s">
        <v>121</v>
      </c>
      <c r="I5">
        <v>5</v>
      </c>
      <c r="L5" s="3" t="s">
        <v>117</v>
      </c>
      <c r="M5" s="4">
        <v>1580</v>
      </c>
      <c r="O5" t="s">
        <v>117</v>
      </c>
      <c r="P5" s="4">
        <v>2499</v>
      </c>
    </row>
    <row r="6" spans="1:16" x14ac:dyDescent="0.3">
      <c r="A6" t="s">
        <v>10</v>
      </c>
      <c r="B6" s="4">
        <v>1740</v>
      </c>
      <c r="C6" s="4">
        <v>2356</v>
      </c>
      <c r="D6" s="1">
        <v>0.26</v>
      </c>
      <c r="E6">
        <v>-5</v>
      </c>
      <c r="F6">
        <v>4.8</v>
      </c>
      <c r="G6" t="s">
        <v>120</v>
      </c>
      <c r="H6" t="s">
        <v>121</v>
      </c>
      <c r="I6">
        <v>5</v>
      </c>
      <c r="L6" s="3" t="s">
        <v>117</v>
      </c>
      <c r="M6" s="4">
        <v>1740</v>
      </c>
      <c r="O6" t="s">
        <v>117</v>
      </c>
      <c r="P6" s="4">
        <v>2356</v>
      </c>
    </row>
    <row r="7" spans="1:16" x14ac:dyDescent="0.3">
      <c r="A7" t="s">
        <v>11</v>
      </c>
      <c r="B7" s="4">
        <v>2999</v>
      </c>
      <c r="C7" s="4">
        <v>3290</v>
      </c>
      <c r="D7" s="1">
        <v>0.09</v>
      </c>
      <c r="E7">
        <v>-15</v>
      </c>
      <c r="F7">
        <v>4</v>
      </c>
      <c r="G7" t="s">
        <v>120</v>
      </c>
      <c r="H7" t="s">
        <v>121</v>
      </c>
      <c r="I7">
        <v>5</v>
      </c>
      <c r="L7" s="3" t="s">
        <v>117</v>
      </c>
      <c r="M7" s="4">
        <v>2999</v>
      </c>
      <c r="O7" t="s">
        <v>117</v>
      </c>
      <c r="P7" s="4">
        <v>3290</v>
      </c>
    </row>
    <row r="8" spans="1:16" x14ac:dyDescent="0.3">
      <c r="A8" t="s">
        <v>12</v>
      </c>
      <c r="B8" s="4">
        <v>2319</v>
      </c>
      <c r="C8" s="4">
        <v>3032</v>
      </c>
      <c r="D8" s="1">
        <v>0.24</v>
      </c>
      <c r="E8">
        <v>-55</v>
      </c>
      <c r="F8">
        <v>4.5999999999999996</v>
      </c>
      <c r="G8" t="s">
        <v>120</v>
      </c>
      <c r="H8" t="s">
        <v>121</v>
      </c>
      <c r="I8">
        <v>5</v>
      </c>
      <c r="L8" s="3" t="s">
        <v>117</v>
      </c>
      <c r="M8" s="4">
        <v>2319</v>
      </c>
      <c r="O8" t="s">
        <v>117</v>
      </c>
      <c r="P8" s="4">
        <v>3032</v>
      </c>
    </row>
    <row r="9" spans="1:16" x14ac:dyDescent="0.3">
      <c r="A9" t="s">
        <v>13</v>
      </c>
      <c r="B9">
        <v>988</v>
      </c>
      <c r="C9" s="4">
        <v>1580</v>
      </c>
      <c r="D9" s="1">
        <v>0.37</v>
      </c>
      <c r="E9">
        <v>-2</v>
      </c>
      <c r="F9">
        <v>4</v>
      </c>
      <c r="G9" t="s">
        <v>120</v>
      </c>
      <c r="H9" t="s">
        <v>121</v>
      </c>
      <c r="I9">
        <v>5</v>
      </c>
      <c r="L9" s="3" t="s">
        <v>117</v>
      </c>
      <c r="M9">
        <v>988</v>
      </c>
      <c r="O9" t="s">
        <v>117</v>
      </c>
      <c r="P9" s="4">
        <v>1580</v>
      </c>
    </row>
    <row r="10" spans="1:16" x14ac:dyDescent="0.3">
      <c r="A10" t="s">
        <v>14</v>
      </c>
      <c r="B10" s="4">
        <v>1274</v>
      </c>
      <c r="C10" s="4">
        <v>2800</v>
      </c>
      <c r="D10" s="1">
        <v>0.55000000000000004</v>
      </c>
      <c r="E10">
        <v>-5</v>
      </c>
      <c r="F10">
        <v>4.8</v>
      </c>
      <c r="G10" t="s">
        <v>120</v>
      </c>
      <c r="H10" t="s">
        <v>121</v>
      </c>
      <c r="I10">
        <v>5</v>
      </c>
      <c r="L10" s="3" t="s">
        <v>117</v>
      </c>
      <c r="M10" s="4">
        <v>1274</v>
      </c>
      <c r="O10" t="s">
        <v>117</v>
      </c>
      <c r="P10" s="4">
        <v>2800</v>
      </c>
    </row>
    <row r="11" spans="1:16" x14ac:dyDescent="0.3">
      <c r="A11" t="s">
        <v>15</v>
      </c>
      <c r="B11" s="4">
        <v>1600</v>
      </c>
      <c r="C11" s="4">
        <v>2929</v>
      </c>
      <c r="D11" s="1">
        <v>0.45</v>
      </c>
      <c r="E11">
        <v>-5</v>
      </c>
      <c r="F11">
        <v>3.8</v>
      </c>
      <c r="G11" t="s">
        <v>120</v>
      </c>
      <c r="H11" t="s">
        <v>121</v>
      </c>
      <c r="I11">
        <v>5</v>
      </c>
      <c r="L11" s="3" t="s">
        <v>117</v>
      </c>
      <c r="M11" s="4">
        <v>1600</v>
      </c>
      <c r="O11" t="s">
        <v>117</v>
      </c>
      <c r="P11" s="4">
        <v>2929</v>
      </c>
    </row>
    <row r="12" spans="1:16" x14ac:dyDescent="0.3">
      <c r="A12" t="s">
        <v>16</v>
      </c>
      <c r="B12">
        <v>799</v>
      </c>
      <c r="C12">
        <v>999</v>
      </c>
      <c r="D12" s="1">
        <v>0.2</v>
      </c>
      <c r="E12">
        <v>-12</v>
      </c>
      <c r="F12">
        <v>4.0999999999999996</v>
      </c>
      <c r="G12" t="s">
        <v>120</v>
      </c>
      <c r="H12" t="s">
        <v>121</v>
      </c>
      <c r="I12">
        <v>5</v>
      </c>
      <c r="L12" s="3" t="s">
        <v>117</v>
      </c>
      <c r="M12">
        <v>799</v>
      </c>
      <c r="O12" t="s">
        <v>117</v>
      </c>
      <c r="P12">
        <v>999</v>
      </c>
    </row>
    <row r="13" spans="1:16" x14ac:dyDescent="0.3">
      <c r="A13" t="s">
        <v>17</v>
      </c>
      <c r="B13">
        <v>990</v>
      </c>
      <c r="C13" s="4">
        <v>1500</v>
      </c>
      <c r="D13" s="1">
        <v>0.34</v>
      </c>
      <c r="E13">
        <v>-39</v>
      </c>
      <c r="F13">
        <v>4.7</v>
      </c>
      <c r="G13" t="s">
        <v>120</v>
      </c>
      <c r="H13" t="s">
        <v>121</v>
      </c>
      <c r="I13">
        <v>5</v>
      </c>
      <c r="L13" s="3" t="s">
        <v>117</v>
      </c>
      <c r="M13">
        <v>990</v>
      </c>
      <c r="O13" t="s">
        <v>117</v>
      </c>
      <c r="P13" s="4">
        <v>1500</v>
      </c>
    </row>
    <row r="14" spans="1:16" x14ac:dyDescent="0.3">
      <c r="A14" t="s">
        <v>18</v>
      </c>
      <c r="B14">
        <v>552</v>
      </c>
      <c r="C14" s="4">
        <v>1035</v>
      </c>
      <c r="D14" s="1">
        <v>0.47</v>
      </c>
      <c r="E14">
        <v>-12</v>
      </c>
      <c r="F14">
        <v>4.8</v>
      </c>
      <c r="G14" t="s">
        <v>120</v>
      </c>
      <c r="H14" t="s">
        <v>121</v>
      </c>
      <c r="I14">
        <v>5</v>
      </c>
      <c r="L14" s="3" t="s">
        <v>117</v>
      </c>
      <c r="M14">
        <v>552</v>
      </c>
      <c r="O14" t="s">
        <v>117</v>
      </c>
      <c r="P14" s="4">
        <v>1035</v>
      </c>
    </row>
    <row r="15" spans="1:16" x14ac:dyDescent="0.3">
      <c r="A15" t="s">
        <v>19</v>
      </c>
      <c r="B15">
        <v>501</v>
      </c>
      <c r="C15">
        <v>860</v>
      </c>
      <c r="D15" s="1">
        <v>0.42</v>
      </c>
      <c r="E15">
        <v>-6</v>
      </c>
      <c r="F15">
        <v>4.5</v>
      </c>
      <c r="G15" t="s">
        <v>120</v>
      </c>
      <c r="H15" t="s">
        <v>121</v>
      </c>
      <c r="I15">
        <v>5</v>
      </c>
      <c r="L15" s="3" t="s">
        <v>117</v>
      </c>
      <c r="M15">
        <v>501</v>
      </c>
      <c r="O15" t="s">
        <v>117</v>
      </c>
      <c r="P15">
        <v>860</v>
      </c>
    </row>
    <row r="16" spans="1:16" x14ac:dyDescent="0.3">
      <c r="A16" t="s">
        <v>20</v>
      </c>
      <c r="B16" s="4">
        <v>1680</v>
      </c>
      <c r="C16" s="4">
        <v>2499</v>
      </c>
      <c r="D16" s="1">
        <v>0.33</v>
      </c>
      <c r="E16">
        <v>-9</v>
      </c>
      <c r="F16">
        <v>4.2</v>
      </c>
      <c r="G16" t="s">
        <v>120</v>
      </c>
      <c r="H16" t="s">
        <v>121</v>
      </c>
      <c r="I16">
        <v>5</v>
      </c>
      <c r="L16" s="3" t="s">
        <v>117</v>
      </c>
      <c r="M16" s="4">
        <v>1680</v>
      </c>
      <c r="O16" t="s">
        <v>117</v>
      </c>
      <c r="P16" s="4">
        <v>2499</v>
      </c>
    </row>
    <row r="17" spans="1:16" x14ac:dyDescent="0.3">
      <c r="A17" t="s">
        <v>21</v>
      </c>
      <c r="B17">
        <v>332</v>
      </c>
      <c r="C17">
        <v>684</v>
      </c>
      <c r="D17" s="1">
        <v>0.51</v>
      </c>
      <c r="E17">
        <v>-2</v>
      </c>
      <c r="F17">
        <v>5</v>
      </c>
      <c r="G17" t="s">
        <v>120</v>
      </c>
      <c r="H17" t="s">
        <v>121</v>
      </c>
      <c r="I17">
        <v>5</v>
      </c>
      <c r="L17" s="3" t="s">
        <v>117</v>
      </c>
      <c r="M17">
        <v>332</v>
      </c>
      <c r="O17" t="s">
        <v>117</v>
      </c>
      <c r="P17">
        <v>684</v>
      </c>
    </row>
    <row r="18" spans="1:16" x14ac:dyDescent="0.3">
      <c r="A18" t="s">
        <v>22</v>
      </c>
      <c r="B18">
        <v>195</v>
      </c>
      <c r="C18">
        <v>360</v>
      </c>
      <c r="D18" s="1">
        <v>0.46</v>
      </c>
      <c r="E18">
        <v>-2</v>
      </c>
      <c r="F18">
        <v>5</v>
      </c>
      <c r="G18" t="s">
        <v>120</v>
      </c>
      <c r="H18" t="s">
        <v>121</v>
      </c>
      <c r="I18">
        <v>5</v>
      </c>
      <c r="L18" s="3" t="s">
        <v>117</v>
      </c>
      <c r="M18">
        <v>195</v>
      </c>
      <c r="O18" t="s">
        <v>117</v>
      </c>
      <c r="P18">
        <v>360</v>
      </c>
    </row>
    <row r="19" spans="1:16" x14ac:dyDescent="0.3">
      <c r="A19" t="s">
        <v>23</v>
      </c>
      <c r="B19" s="4">
        <v>2025</v>
      </c>
      <c r="C19" s="4">
        <v>3971</v>
      </c>
      <c r="D19" s="1">
        <v>0.49</v>
      </c>
      <c r="E19">
        <v>-3</v>
      </c>
      <c r="F19">
        <v>5</v>
      </c>
      <c r="G19" t="s">
        <v>120</v>
      </c>
      <c r="H19" t="s">
        <v>121</v>
      </c>
      <c r="I19">
        <v>5</v>
      </c>
      <c r="L19" s="3" t="s">
        <v>117</v>
      </c>
      <c r="M19" s="4">
        <v>2025</v>
      </c>
      <c r="O19" t="s">
        <v>117</v>
      </c>
      <c r="P19" s="4">
        <v>3971</v>
      </c>
    </row>
    <row r="20" spans="1:16" x14ac:dyDescent="0.3">
      <c r="A20" t="s">
        <v>24</v>
      </c>
      <c r="B20" s="4">
        <v>2999</v>
      </c>
      <c r="C20" s="4">
        <v>3699</v>
      </c>
      <c r="D20" s="1">
        <v>0.19</v>
      </c>
      <c r="E20">
        <v>-5</v>
      </c>
      <c r="F20">
        <v>4.5999999999999996</v>
      </c>
      <c r="G20" t="s">
        <v>120</v>
      </c>
      <c r="H20" t="s">
        <v>121</v>
      </c>
      <c r="I20">
        <v>5</v>
      </c>
      <c r="L20" s="3" t="s">
        <v>117</v>
      </c>
      <c r="M20" s="4">
        <v>2999</v>
      </c>
      <c r="O20" t="s">
        <v>117</v>
      </c>
      <c r="P20" s="4">
        <v>3699</v>
      </c>
    </row>
    <row r="21" spans="1:16" x14ac:dyDescent="0.3">
      <c r="A21" t="s">
        <v>25</v>
      </c>
      <c r="B21">
        <v>998</v>
      </c>
      <c r="C21" s="4">
        <v>1966</v>
      </c>
      <c r="D21" s="1">
        <v>0.49</v>
      </c>
      <c r="E21">
        <v>-44</v>
      </c>
      <c r="F21">
        <v>4.5999999999999996</v>
      </c>
      <c r="G21" t="s">
        <v>120</v>
      </c>
      <c r="H21" t="s">
        <v>121</v>
      </c>
      <c r="I21">
        <v>5</v>
      </c>
      <c r="L21" s="3" t="s">
        <v>117</v>
      </c>
      <c r="M21">
        <v>998</v>
      </c>
      <c r="O21" t="s">
        <v>117</v>
      </c>
      <c r="P21" s="4">
        <v>1966</v>
      </c>
    </row>
    <row r="22" spans="1:16" x14ac:dyDescent="0.3">
      <c r="A22" t="s">
        <v>26</v>
      </c>
      <c r="B22">
        <v>38</v>
      </c>
      <c r="C22">
        <v>80</v>
      </c>
      <c r="D22" s="1">
        <v>0.53</v>
      </c>
      <c r="E22">
        <v>-13</v>
      </c>
      <c r="F22">
        <v>3.3</v>
      </c>
      <c r="G22" t="s">
        <v>120</v>
      </c>
      <c r="H22" t="s">
        <v>121</v>
      </c>
      <c r="I22">
        <v>5</v>
      </c>
      <c r="L22" s="3" t="s">
        <v>117</v>
      </c>
      <c r="M22">
        <v>38</v>
      </c>
      <c r="O22" t="s">
        <v>117</v>
      </c>
      <c r="P22">
        <v>80</v>
      </c>
    </row>
    <row r="23" spans="1:16" x14ac:dyDescent="0.3">
      <c r="A23" t="s">
        <v>27</v>
      </c>
      <c r="B23" s="4">
        <v>1860</v>
      </c>
      <c r="C23" s="4">
        <v>3220</v>
      </c>
      <c r="D23" s="1">
        <v>0.42</v>
      </c>
      <c r="L23" s="3" t="s">
        <v>117</v>
      </c>
      <c r="M23" s="4">
        <v>1860</v>
      </c>
      <c r="O23" t="s">
        <v>117</v>
      </c>
      <c r="P23" s="4">
        <v>3220</v>
      </c>
    </row>
    <row r="24" spans="1:16" x14ac:dyDescent="0.3">
      <c r="A24" t="s">
        <v>28</v>
      </c>
      <c r="B24">
        <v>880</v>
      </c>
      <c r="C24" s="4">
        <v>1350</v>
      </c>
      <c r="D24" s="1">
        <v>0.35</v>
      </c>
      <c r="E24">
        <v>-6</v>
      </c>
      <c r="F24">
        <v>4</v>
      </c>
      <c r="G24" t="s">
        <v>120</v>
      </c>
      <c r="H24" t="s">
        <v>121</v>
      </c>
      <c r="I24">
        <v>5</v>
      </c>
      <c r="L24" s="3" t="s">
        <v>117</v>
      </c>
      <c r="M24">
        <v>880</v>
      </c>
      <c r="O24" t="s">
        <v>117</v>
      </c>
      <c r="P24" s="4">
        <v>1350</v>
      </c>
    </row>
    <row r="25" spans="1:16" x14ac:dyDescent="0.3">
      <c r="A25" t="s">
        <v>29</v>
      </c>
      <c r="B25" s="4">
        <v>1650</v>
      </c>
      <c r="C25" s="4">
        <v>2150</v>
      </c>
      <c r="D25" s="1">
        <v>0.23</v>
      </c>
      <c r="E25">
        <v>-14</v>
      </c>
      <c r="F25">
        <v>4.4000000000000004</v>
      </c>
      <c r="G25" t="s">
        <v>120</v>
      </c>
      <c r="H25" t="s">
        <v>121</v>
      </c>
      <c r="I25">
        <v>5</v>
      </c>
      <c r="L25" s="3" t="s">
        <v>117</v>
      </c>
      <c r="M25" s="4">
        <v>1650</v>
      </c>
      <c r="O25" t="s">
        <v>117</v>
      </c>
      <c r="P25" s="4">
        <v>2150</v>
      </c>
    </row>
    <row r="26" spans="1:16" x14ac:dyDescent="0.3">
      <c r="A26" t="s">
        <v>30</v>
      </c>
      <c r="B26" s="4">
        <v>2048</v>
      </c>
      <c r="C26" s="4">
        <v>4500</v>
      </c>
      <c r="D26" s="1">
        <v>0.54</v>
      </c>
      <c r="E26">
        <v>-7</v>
      </c>
      <c r="F26">
        <v>4.3</v>
      </c>
      <c r="G26" t="s">
        <v>120</v>
      </c>
      <c r="H26" t="s">
        <v>121</v>
      </c>
      <c r="I26">
        <v>5</v>
      </c>
      <c r="L26" s="3" t="s">
        <v>117</v>
      </c>
      <c r="M26" s="4">
        <v>2048</v>
      </c>
      <c r="O26" t="s">
        <v>117</v>
      </c>
      <c r="P26" s="4">
        <v>4500</v>
      </c>
    </row>
    <row r="27" spans="1:16" x14ac:dyDescent="0.3">
      <c r="A27" t="s">
        <v>31</v>
      </c>
      <c r="B27">
        <v>420</v>
      </c>
      <c r="C27">
        <v>647</v>
      </c>
      <c r="D27" s="1">
        <v>0.35</v>
      </c>
      <c r="E27">
        <v>-49</v>
      </c>
      <c r="F27">
        <v>4.5999999999999996</v>
      </c>
      <c r="G27" t="s">
        <v>120</v>
      </c>
      <c r="H27" t="s">
        <v>121</v>
      </c>
      <c r="I27">
        <v>5</v>
      </c>
      <c r="L27" s="3" t="s">
        <v>117</v>
      </c>
      <c r="M27">
        <v>420</v>
      </c>
      <c r="O27" t="s">
        <v>117</v>
      </c>
      <c r="P27">
        <v>647</v>
      </c>
    </row>
    <row r="28" spans="1:16" x14ac:dyDescent="0.3">
      <c r="A28" t="s">
        <v>32</v>
      </c>
      <c r="B28" s="4">
        <v>2880</v>
      </c>
      <c r="C28" s="4">
        <v>3520</v>
      </c>
      <c r="D28" s="1">
        <v>0.18</v>
      </c>
      <c r="E28">
        <v>-12</v>
      </c>
      <c r="F28">
        <v>3.8</v>
      </c>
      <c r="G28" t="s">
        <v>120</v>
      </c>
      <c r="H28" t="s">
        <v>121</v>
      </c>
      <c r="I28">
        <v>5</v>
      </c>
      <c r="L28" s="3" t="s">
        <v>117</v>
      </c>
      <c r="M28" s="4">
        <v>2880</v>
      </c>
      <c r="O28" t="s">
        <v>117</v>
      </c>
      <c r="P28" s="4">
        <v>3520</v>
      </c>
    </row>
    <row r="29" spans="1:16" x14ac:dyDescent="0.3">
      <c r="A29" t="s">
        <v>33</v>
      </c>
      <c r="B29" s="4">
        <v>1350</v>
      </c>
      <c r="C29" s="4">
        <v>1990</v>
      </c>
      <c r="D29" s="1">
        <v>0.32</v>
      </c>
      <c r="E29">
        <v>-13</v>
      </c>
      <c r="F29">
        <v>3.8</v>
      </c>
      <c r="G29" t="s">
        <v>120</v>
      </c>
      <c r="H29" t="s">
        <v>121</v>
      </c>
      <c r="I29">
        <v>5</v>
      </c>
      <c r="L29" s="3" t="s">
        <v>117</v>
      </c>
      <c r="M29" s="4">
        <v>1350</v>
      </c>
      <c r="O29" t="s">
        <v>117</v>
      </c>
      <c r="P29" s="4">
        <v>1990</v>
      </c>
    </row>
    <row r="30" spans="1:16" x14ac:dyDescent="0.3">
      <c r="A30" t="s">
        <v>34</v>
      </c>
      <c r="B30" s="4">
        <v>1758</v>
      </c>
      <c r="C30" s="4">
        <v>2499</v>
      </c>
      <c r="D30" s="1">
        <v>0.3</v>
      </c>
      <c r="E30">
        <v>-20</v>
      </c>
      <c r="F30">
        <v>4.0999999999999996</v>
      </c>
      <c r="G30" t="s">
        <v>120</v>
      </c>
      <c r="H30" t="s">
        <v>121</v>
      </c>
      <c r="I30">
        <v>5</v>
      </c>
      <c r="L30" s="3" t="s">
        <v>117</v>
      </c>
      <c r="M30" s="4">
        <v>1758</v>
      </c>
      <c r="O30" t="s">
        <v>117</v>
      </c>
      <c r="P30" s="4">
        <v>2499</v>
      </c>
    </row>
    <row r="31" spans="1:16" x14ac:dyDescent="0.3">
      <c r="A31" t="s">
        <v>35</v>
      </c>
      <c r="B31" s="4">
        <v>2200</v>
      </c>
      <c r="C31" s="4">
        <v>4080</v>
      </c>
      <c r="D31" s="1">
        <v>0.46</v>
      </c>
      <c r="L31" s="3" t="s">
        <v>117</v>
      </c>
      <c r="M31" s="4">
        <v>2200</v>
      </c>
      <c r="O31" t="s">
        <v>117</v>
      </c>
      <c r="P31" s="4">
        <v>4080</v>
      </c>
    </row>
    <row r="32" spans="1:16" x14ac:dyDescent="0.3">
      <c r="A32" t="s">
        <v>36</v>
      </c>
      <c r="B32">
        <v>185</v>
      </c>
      <c r="C32">
        <v>382</v>
      </c>
      <c r="D32" s="1">
        <v>0.52</v>
      </c>
      <c r="E32">
        <v>-9</v>
      </c>
      <c r="F32">
        <v>4.3</v>
      </c>
      <c r="G32" t="s">
        <v>120</v>
      </c>
      <c r="H32" t="s">
        <v>121</v>
      </c>
      <c r="I32">
        <v>5</v>
      </c>
      <c r="L32" s="3" t="s">
        <v>117</v>
      </c>
      <c r="M32">
        <v>185</v>
      </c>
      <c r="O32" t="s">
        <v>117</v>
      </c>
      <c r="P32">
        <v>382</v>
      </c>
    </row>
    <row r="33" spans="1:19" x14ac:dyDescent="0.3">
      <c r="A33" t="s">
        <v>37</v>
      </c>
      <c r="B33">
        <v>980</v>
      </c>
      <c r="C33" s="4">
        <v>1490</v>
      </c>
      <c r="D33" s="1">
        <v>0.34</v>
      </c>
      <c r="E33">
        <v>-12</v>
      </c>
      <c r="F33">
        <v>4.7</v>
      </c>
      <c r="G33" t="s">
        <v>120</v>
      </c>
      <c r="H33" t="s">
        <v>121</v>
      </c>
      <c r="I33">
        <v>5</v>
      </c>
      <c r="L33" s="3" t="s">
        <v>117</v>
      </c>
      <c r="M33">
        <v>980</v>
      </c>
      <c r="O33" t="s">
        <v>117</v>
      </c>
      <c r="P33" s="4">
        <v>1490</v>
      </c>
    </row>
    <row r="34" spans="1:19" x14ac:dyDescent="0.3">
      <c r="A34" t="s">
        <v>38</v>
      </c>
      <c r="B34" s="4">
        <v>1820</v>
      </c>
      <c r="C34" s="4">
        <v>3490</v>
      </c>
      <c r="D34" s="1">
        <v>0.48</v>
      </c>
      <c r="E34">
        <v>-9</v>
      </c>
      <c r="F34">
        <v>4.3</v>
      </c>
      <c r="G34" t="s">
        <v>120</v>
      </c>
      <c r="H34" t="s">
        <v>121</v>
      </c>
      <c r="I34">
        <v>5</v>
      </c>
      <c r="L34" s="3" t="s">
        <v>117</v>
      </c>
      <c r="M34" s="4">
        <v>1820</v>
      </c>
      <c r="O34" t="s">
        <v>117</v>
      </c>
      <c r="P34" s="4">
        <v>3490</v>
      </c>
    </row>
    <row r="35" spans="1:19" x14ac:dyDescent="0.3">
      <c r="A35" t="s">
        <v>39</v>
      </c>
      <c r="B35" s="4">
        <v>1940</v>
      </c>
      <c r="C35" s="4">
        <v>2650</v>
      </c>
      <c r="D35" s="1">
        <v>0.27</v>
      </c>
      <c r="E35">
        <v>-20</v>
      </c>
      <c r="F35">
        <v>4.7</v>
      </c>
      <c r="G35" t="s">
        <v>120</v>
      </c>
      <c r="H35" t="s">
        <v>121</v>
      </c>
      <c r="I35">
        <v>5</v>
      </c>
      <c r="L35" s="3" t="s">
        <v>117</v>
      </c>
      <c r="M35" s="4">
        <v>1940</v>
      </c>
      <c r="O35" t="s">
        <v>117</v>
      </c>
      <c r="P35" s="4">
        <v>2650</v>
      </c>
    </row>
    <row r="36" spans="1:19" x14ac:dyDescent="0.3">
      <c r="A36" t="s">
        <v>40</v>
      </c>
      <c r="B36" s="4">
        <v>1980</v>
      </c>
      <c r="C36" s="4">
        <v>2699</v>
      </c>
      <c r="D36" s="1">
        <v>0.27</v>
      </c>
      <c r="E36">
        <v>-32</v>
      </c>
      <c r="F36">
        <v>4.5</v>
      </c>
      <c r="G36" t="s">
        <v>120</v>
      </c>
      <c r="H36" t="s">
        <v>121</v>
      </c>
      <c r="I36">
        <v>5</v>
      </c>
      <c r="L36" s="3" t="s">
        <v>117</v>
      </c>
      <c r="M36" s="4">
        <v>1980</v>
      </c>
      <c r="O36" t="s">
        <v>117</v>
      </c>
      <c r="P36" s="4">
        <v>2699</v>
      </c>
    </row>
    <row r="37" spans="1:19" x14ac:dyDescent="0.3">
      <c r="A37" t="s">
        <v>41</v>
      </c>
      <c r="B37" s="4">
        <v>1620</v>
      </c>
      <c r="C37" s="4">
        <v>2690</v>
      </c>
      <c r="D37" s="1">
        <v>0.4</v>
      </c>
      <c r="E37">
        <v>-1</v>
      </c>
      <c r="F37">
        <v>5</v>
      </c>
      <c r="G37" t="s">
        <v>120</v>
      </c>
      <c r="H37" t="s">
        <v>121</v>
      </c>
      <c r="I37">
        <v>5</v>
      </c>
      <c r="L37" s="3" t="s">
        <v>117</v>
      </c>
      <c r="M37" s="4">
        <v>1620</v>
      </c>
      <c r="O37" t="s">
        <v>117</v>
      </c>
      <c r="P37" s="4">
        <v>2690</v>
      </c>
    </row>
    <row r="38" spans="1:19" x14ac:dyDescent="0.3">
      <c r="A38" t="s">
        <v>42</v>
      </c>
      <c r="B38">
        <v>171</v>
      </c>
      <c r="C38">
        <v>360</v>
      </c>
      <c r="D38" s="1">
        <v>0.53</v>
      </c>
      <c r="E38">
        <v>-2</v>
      </c>
      <c r="F38">
        <v>5</v>
      </c>
      <c r="G38" t="s">
        <v>120</v>
      </c>
      <c r="H38" t="s">
        <v>121</v>
      </c>
      <c r="I38">
        <v>5</v>
      </c>
      <c r="L38" s="3" t="s">
        <v>117</v>
      </c>
      <c r="M38">
        <v>171</v>
      </c>
      <c r="O38" t="s">
        <v>117</v>
      </c>
      <c r="P38">
        <v>360</v>
      </c>
    </row>
    <row r="39" spans="1:19" x14ac:dyDescent="0.3">
      <c r="A39" t="s">
        <v>43</v>
      </c>
      <c r="B39">
        <v>389</v>
      </c>
      <c r="C39">
        <v>656</v>
      </c>
      <c r="D39" s="1">
        <v>0.41</v>
      </c>
      <c r="E39">
        <v>-36</v>
      </c>
      <c r="F39">
        <v>4.3</v>
      </c>
      <c r="G39" t="s">
        <v>120</v>
      </c>
      <c r="H39" t="s">
        <v>121</v>
      </c>
      <c r="I39">
        <v>5</v>
      </c>
      <c r="L39" s="3" t="s">
        <v>117</v>
      </c>
      <c r="M39">
        <v>389</v>
      </c>
      <c r="O39" t="s">
        <v>117</v>
      </c>
      <c r="P39">
        <v>656</v>
      </c>
    </row>
    <row r="40" spans="1:19" x14ac:dyDescent="0.3">
      <c r="A40" t="s">
        <v>44</v>
      </c>
      <c r="B40" s="4">
        <v>1620</v>
      </c>
      <c r="C40" s="4">
        <v>2200</v>
      </c>
      <c r="D40" s="1">
        <v>0.38</v>
      </c>
      <c r="E40">
        <v>-2</v>
      </c>
      <c r="F40">
        <v>4.5</v>
      </c>
      <c r="G40" t="s">
        <v>120</v>
      </c>
      <c r="H40" t="s">
        <v>121</v>
      </c>
      <c r="I40">
        <v>5</v>
      </c>
      <c r="L40" s="3" t="s">
        <v>117</v>
      </c>
      <c r="M40" s="4">
        <v>1620</v>
      </c>
      <c r="N40" t="s">
        <v>118</v>
      </c>
      <c r="O40" t="s">
        <v>117</v>
      </c>
      <c r="P40" s="4">
        <v>2200</v>
      </c>
      <c r="Q40" t="s">
        <v>118</v>
      </c>
      <c r="R40" t="s">
        <v>117</v>
      </c>
      <c r="S40" s="4">
        <v>3200</v>
      </c>
    </row>
    <row r="41" spans="1:19" x14ac:dyDescent="0.3">
      <c r="A41" t="s">
        <v>45</v>
      </c>
      <c r="B41" s="4">
        <v>2750</v>
      </c>
      <c r="C41" s="4">
        <v>4471</v>
      </c>
      <c r="D41" s="1">
        <v>0.38</v>
      </c>
      <c r="L41" s="3" t="s">
        <v>117</v>
      </c>
      <c r="M41" s="4">
        <v>2750</v>
      </c>
      <c r="O41" t="s">
        <v>117</v>
      </c>
      <c r="P41" s="4">
        <v>4471</v>
      </c>
    </row>
    <row r="42" spans="1:19" x14ac:dyDescent="0.3">
      <c r="A42" t="s">
        <v>46</v>
      </c>
      <c r="B42">
        <v>475</v>
      </c>
      <c r="C42">
        <v>931</v>
      </c>
      <c r="D42" s="1">
        <v>0.49</v>
      </c>
      <c r="L42" s="3" t="s">
        <v>117</v>
      </c>
      <c r="M42">
        <v>475</v>
      </c>
      <c r="O42" t="s">
        <v>117</v>
      </c>
      <c r="P42">
        <v>931</v>
      </c>
    </row>
    <row r="43" spans="1:19" x14ac:dyDescent="0.3">
      <c r="A43" t="s">
        <v>47</v>
      </c>
      <c r="B43">
        <v>238</v>
      </c>
      <c r="C43">
        <v>476</v>
      </c>
      <c r="D43" s="1">
        <v>0.5</v>
      </c>
      <c r="L43" s="3" t="s">
        <v>117</v>
      </c>
      <c r="M43">
        <v>238</v>
      </c>
      <c r="O43" t="s">
        <v>117</v>
      </c>
      <c r="P43">
        <v>476</v>
      </c>
    </row>
    <row r="44" spans="1:19" x14ac:dyDescent="0.3">
      <c r="A44" t="s">
        <v>48</v>
      </c>
      <c r="B44">
        <v>610</v>
      </c>
      <c r="C44" s="4">
        <v>1060</v>
      </c>
      <c r="D44" s="1">
        <v>0.42</v>
      </c>
      <c r="L44" s="3" t="s">
        <v>117</v>
      </c>
      <c r="M44">
        <v>610</v>
      </c>
      <c r="O44" t="s">
        <v>117</v>
      </c>
      <c r="P44" s="4">
        <v>1060</v>
      </c>
    </row>
    <row r="45" spans="1:19" x14ac:dyDescent="0.3">
      <c r="A45" t="s">
        <v>48</v>
      </c>
      <c r="B45">
        <v>610</v>
      </c>
      <c r="C45" s="4">
        <v>1060</v>
      </c>
      <c r="D45" s="1">
        <v>0.42</v>
      </c>
      <c r="L45" s="3" t="s">
        <v>117</v>
      </c>
      <c r="M45">
        <v>610</v>
      </c>
      <c r="O45" t="s">
        <v>117</v>
      </c>
      <c r="P45" s="4">
        <v>1060</v>
      </c>
    </row>
    <row r="46" spans="1:19" x14ac:dyDescent="0.3">
      <c r="A46" t="s">
        <v>49</v>
      </c>
      <c r="B46" s="4">
        <v>2132</v>
      </c>
      <c r="C46" s="4">
        <v>2169</v>
      </c>
      <c r="D46" s="1">
        <v>0.02</v>
      </c>
      <c r="L46" s="3" t="s">
        <v>117</v>
      </c>
      <c r="M46" s="4">
        <v>2132</v>
      </c>
      <c r="O46" t="s">
        <v>117</v>
      </c>
      <c r="P46" s="4">
        <v>2169</v>
      </c>
    </row>
    <row r="47" spans="1:19" x14ac:dyDescent="0.3">
      <c r="A47" t="s">
        <v>50</v>
      </c>
      <c r="B47">
        <v>999</v>
      </c>
      <c r="C47" s="4">
        <v>2000</v>
      </c>
      <c r="D47" s="1">
        <v>0.5</v>
      </c>
      <c r="L47" s="3" t="s">
        <v>117</v>
      </c>
      <c r="M47">
        <v>999</v>
      </c>
      <c r="O47" t="s">
        <v>117</v>
      </c>
      <c r="P47" s="4">
        <v>2000</v>
      </c>
    </row>
    <row r="48" spans="1:19" x14ac:dyDescent="0.3">
      <c r="A48" t="s">
        <v>51</v>
      </c>
      <c r="B48" s="4">
        <v>1190</v>
      </c>
      <c r="C48" s="4">
        <v>1785</v>
      </c>
      <c r="D48" s="1">
        <v>0.33</v>
      </c>
      <c r="L48" s="3" t="s">
        <v>117</v>
      </c>
      <c r="M48" s="4">
        <v>1190</v>
      </c>
      <c r="O48" t="s">
        <v>117</v>
      </c>
      <c r="P48" s="4">
        <v>1785</v>
      </c>
    </row>
    <row r="49" spans="1:16" x14ac:dyDescent="0.3">
      <c r="A49" t="s">
        <v>52</v>
      </c>
      <c r="B49">
        <v>671</v>
      </c>
      <c r="C49" s="4">
        <v>1316</v>
      </c>
      <c r="D49" s="1">
        <v>0.49</v>
      </c>
      <c r="L49" s="3" t="s">
        <v>117</v>
      </c>
      <c r="M49">
        <v>671</v>
      </c>
      <c r="O49" t="s">
        <v>117</v>
      </c>
      <c r="P49" s="4">
        <v>1316</v>
      </c>
    </row>
    <row r="50" spans="1:16" x14ac:dyDescent="0.3">
      <c r="A50" t="s">
        <v>53</v>
      </c>
      <c r="B50" s="4">
        <v>1200</v>
      </c>
      <c r="C50" s="4">
        <v>1950</v>
      </c>
      <c r="D50" s="1">
        <v>0.38</v>
      </c>
      <c r="L50" s="3" t="s">
        <v>117</v>
      </c>
      <c r="M50" s="4">
        <v>1200</v>
      </c>
      <c r="O50" t="s">
        <v>117</v>
      </c>
      <c r="P50" s="4">
        <v>1950</v>
      </c>
    </row>
    <row r="51" spans="1:16" x14ac:dyDescent="0.3">
      <c r="A51" t="s">
        <v>54</v>
      </c>
      <c r="B51">
        <v>199</v>
      </c>
      <c r="C51">
        <v>504</v>
      </c>
      <c r="D51" s="1">
        <v>0.61</v>
      </c>
      <c r="L51" s="3" t="s">
        <v>117</v>
      </c>
      <c r="M51">
        <v>199</v>
      </c>
      <c r="O51" t="s">
        <v>117</v>
      </c>
      <c r="P51">
        <v>504</v>
      </c>
    </row>
    <row r="52" spans="1:16" x14ac:dyDescent="0.3">
      <c r="A52" t="s">
        <v>55</v>
      </c>
      <c r="B52">
        <v>299</v>
      </c>
      <c r="C52">
        <v>600</v>
      </c>
      <c r="D52" s="1">
        <v>0.5</v>
      </c>
      <c r="L52" s="3" t="s">
        <v>117</v>
      </c>
      <c r="M52">
        <v>299</v>
      </c>
      <c r="O52" t="s">
        <v>117</v>
      </c>
      <c r="P52">
        <v>600</v>
      </c>
    </row>
    <row r="53" spans="1:16" x14ac:dyDescent="0.3">
      <c r="A53" t="s">
        <v>56</v>
      </c>
      <c r="B53" s="4">
        <v>1660</v>
      </c>
      <c r="C53" s="4">
        <v>1699</v>
      </c>
      <c r="D53" s="1">
        <v>0.02</v>
      </c>
      <c r="L53" s="3" t="s">
        <v>117</v>
      </c>
      <c r="M53" s="4">
        <v>1660</v>
      </c>
      <c r="O53" t="s">
        <v>117</v>
      </c>
      <c r="P53" s="4">
        <v>1699</v>
      </c>
    </row>
    <row r="54" spans="1:16" x14ac:dyDescent="0.3">
      <c r="A54" t="s">
        <v>57</v>
      </c>
      <c r="B54">
        <v>299</v>
      </c>
      <c r="C54">
        <v>384</v>
      </c>
      <c r="D54" s="1">
        <v>0.22</v>
      </c>
      <c r="L54" s="3" t="s">
        <v>117</v>
      </c>
      <c r="M54">
        <v>299</v>
      </c>
      <c r="O54" t="s">
        <v>117</v>
      </c>
      <c r="P54">
        <v>384</v>
      </c>
    </row>
    <row r="55" spans="1:16" x14ac:dyDescent="0.3">
      <c r="A55" t="s">
        <v>58</v>
      </c>
      <c r="B55" s="4">
        <v>1459</v>
      </c>
      <c r="C55" s="4">
        <v>1499</v>
      </c>
      <c r="D55" s="1">
        <v>0.03</v>
      </c>
      <c r="L55" s="3" t="s">
        <v>117</v>
      </c>
      <c r="M55" s="4">
        <v>1459</v>
      </c>
      <c r="O55" t="s">
        <v>117</v>
      </c>
      <c r="P55" s="4">
        <v>1499</v>
      </c>
    </row>
    <row r="56" spans="1:16" x14ac:dyDescent="0.3">
      <c r="A56" t="s">
        <v>59</v>
      </c>
      <c r="B56">
        <v>799</v>
      </c>
      <c r="C56" s="4">
        <v>1343</v>
      </c>
      <c r="D56" s="1">
        <v>0.41</v>
      </c>
      <c r="L56" s="3" t="s">
        <v>117</v>
      </c>
      <c r="M56">
        <v>799</v>
      </c>
      <c r="O56" t="s">
        <v>117</v>
      </c>
      <c r="P56" s="4">
        <v>1343</v>
      </c>
    </row>
    <row r="57" spans="1:16" x14ac:dyDescent="0.3">
      <c r="A57" t="s">
        <v>60</v>
      </c>
      <c r="B57">
        <v>499</v>
      </c>
      <c r="C57">
        <v>900</v>
      </c>
      <c r="D57" s="1">
        <v>0.45</v>
      </c>
      <c r="L57" s="3" t="s">
        <v>117</v>
      </c>
      <c r="M57">
        <v>499</v>
      </c>
      <c r="O57" t="s">
        <v>117</v>
      </c>
      <c r="P57">
        <v>900</v>
      </c>
    </row>
    <row r="58" spans="1:16" x14ac:dyDescent="0.3">
      <c r="A58" t="s">
        <v>61</v>
      </c>
      <c r="B58">
        <v>699</v>
      </c>
      <c r="C58" s="4">
        <v>1343</v>
      </c>
      <c r="D58" s="1">
        <v>0.48</v>
      </c>
      <c r="L58" s="3" t="s">
        <v>117</v>
      </c>
      <c r="M58">
        <v>699</v>
      </c>
      <c r="O58" t="s">
        <v>117</v>
      </c>
      <c r="P58" s="4">
        <v>1343</v>
      </c>
    </row>
    <row r="59" spans="1:16" x14ac:dyDescent="0.3">
      <c r="A59" t="s">
        <v>62</v>
      </c>
      <c r="B59">
        <v>799</v>
      </c>
      <c r="C59" s="4">
        <v>1567</v>
      </c>
      <c r="D59" s="1">
        <v>0.49</v>
      </c>
      <c r="L59" s="3" t="s">
        <v>117</v>
      </c>
      <c r="M59">
        <v>799</v>
      </c>
      <c r="O59" t="s">
        <v>117</v>
      </c>
      <c r="P59" s="4">
        <v>1567</v>
      </c>
    </row>
    <row r="60" spans="1:16" x14ac:dyDescent="0.3">
      <c r="A60" t="s">
        <v>63</v>
      </c>
      <c r="B60" s="4">
        <v>2799</v>
      </c>
      <c r="C60" s="4">
        <v>3810</v>
      </c>
      <c r="D60" s="1">
        <v>0.27</v>
      </c>
      <c r="L60" s="3" t="s">
        <v>117</v>
      </c>
      <c r="M60" s="4">
        <v>2799</v>
      </c>
      <c r="O60" t="s">
        <v>117</v>
      </c>
      <c r="P60" s="4">
        <v>3810</v>
      </c>
    </row>
    <row r="61" spans="1:16" x14ac:dyDescent="0.3">
      <c r="A61" t="s">
        <v>60</v>
      </c>
      <c r="B61">
        <v>399</v>
      </c>
      <c r="C61">
        <v>896</v>
      </c>
      <c r="D61" s="1">
        <v>0.55000000000000004</v>
      </c>
      <c r="L61" s="3" t="s">
        <v>117</v>
      </c>
      <c r="M61">
        <v>399</v>
      </c>
      <c r="O61" t="s">
        <v>117</v>
      </c>
      <c r="P61">
        <v>896</v>
      </c>
    </row>
    <row r="62" spans="1:16" x14ac:dyDescent="0.3">
      <c r="A62" t="s">
        <v>64</v>
      </c>
      <c r="B62" s="4">
        <v>2170</v>
      </c>
      <c r="C62" s="4">
        <v>2500</v>
      </c>
      <c r="D62" s="1">
        <v>0.13</v>
      </c>
      <c r="E62">
        <v>-6</v>
      </c>
      <c r="F62">
        <v>2.5</v>
      </c>
      <c r="G62" t="s">
        <v>120</v>
      </c>
      <c r="H62" t="s">
        <v>121</v>
      </c>
      <c r="I62">
        <v>5</v>
      </c>
      <c r="L62" s="3" t="s">
        <v>117</v>
      </c>
      <c r="M62" s="4">
        <v>2170</v>
      </c>
      <c r="O62" t="s">
        <v>117</v>
      </c>
      <c r="P62" s="4">
        <v>2500</v>
      </c>
    </row>
    <row r="63" spans="1:16" x14ac:dyDescent="0.3">
      <c r="A63" t="s">
        <v>65</v>
      </c>
      <c r="B63">
        <v>458</v>
      </c>
      <c r="C63">
        <v>986</v>
      </c>
      <c r="D63" s="1">
        <v>0.54</v>
      </c>
      <c r="E63">
        <v>-10</v>
      </c>
      <c r="F63">
        <v>3</v>
      </c>
      <c r="G63" t="s">
        <v>120</v>
      </c>
      <c r="H63" t="s">
        <v>121</v>
      </c>
      <c r="I63">
        <v>5</v>
      </c>
      <c r="L63" s="3" t="s">
        <v>117</v>
      </c>
      <c r="M63">
        <v>458</v>
      </c>
      <c r="O63" t="s">
        <v>117</v>
      </c>
      <c r="P63">
        <v>986</v>
      </c>
    </row>
    <row r="64" spans="1:16" x14ac:dyDescent="0.3">
      <c r="A64" t="s">
        <v>66</v>
      </c>
      <c r="B64" s="4">
        <v>2115</v>
      </c>
      <c r="C64" s="4">
        <v>4700</v>
      </c>
      <c r="D64" s="1">
        <v>0.55000000000000004</v>
      </c>
      <c r="E64">
        <v>-13</v>
      </c>
      <c r="F64">
        <v>2.1</v>
      </c>
      <c r="G64" t="s">
        <v>120</v>
      </c>
      <c r="H64" t="s">
        <v>121</v>
      </c>
      <c r="I64">
        <v>5</v>
      </c>
      <c r="L64" s="3" t="s">
        <v>117</v>
      </c>
      <c r="M64" s="4">
        <v>2115</v>
      </c>
      <c r="O64" t="s">
        <v>117</v>
      </c>
      <c r="P64" s="4">
        <v>4700</v>
      </c>
    </row>
    <row r="65" spans="1:16" x14ac:dyDescent="0.3">
      <c r="A65" t="s">
        <v>67</v>
      </c>
      <c r="B65">
        <v>445</v>
      </c>
      <c r="C65">
        <v>873</v>
      </c>
      <c r="D65" s="1">
        <v>0.49</v>
      </c>
      <c r="E65">
        <v>-69</v>
      </c>
      <c r="F65">
        <v>2.8</v>
      </c>
      <c r="G65" t="s">
        <v>120</v>
      </c>
      <c r="H65" t="s">
        <v>121</v>
      </c>
      <c r="I65">
        <v>5</v>
      </c>
      <c r="L65" s="3" t="s">
        <v>117</v>
      </c>
      <c r="M65">
        <v>445</v>
      </c>
      <c r="O65" t="s">
        <v>117</v>
      </c>
      <c r="P65">
        <v>873</v>
      </c>
    </row>
    <row r="66" spans="1:16" x14ac:dyDescent="0.3">
      <c r="A66" t="s">
        <v>68</v>
      </c>
      <c r="B66">
        <v>325</v>
      </c>
      <c r="C66">
        <v>680</v>
      </c>
      <c r="D66" s="1">
        <v>0.52</v>
      </c>
      <c r="E66">
        <v>-15</v>
      </c>
      <c r="F66">
        <v>2.7</v>
      </c>
      <c r="G66" t="s">
        <v>120</v>
      </c>
      <c r="H66" t="s">
        <v>121</v>
      </c>
      <c r="I66">
        <v>5</v>
      </c>
      <c r="L66" s="3" t="s">
        <v>117</v>
      </c>
      <c r="M66">
        <v>325</v>
      </c>
      <c r="O66" t="s">
        <v>117</v>
      </c>
      <c r="P66">
        <v>680</v>
      </c>
    </row>
    <row r="67" spans="1:16" x14ac:dyDescent="0.3">
      <c r="A67" t="s">
        <v>69</v>
      </c>
      <c r="B67" s="4">
        <v>1220</v>
      </c>
      <c r="C67" s="4">
        <v>1555</v>
      </c>
      <c r="D67" s="1">
        <v>0.22</v>
      </c>
      <c r="E67">
        <v>-16</v>
      </c>
      <c r="F67">
        <v>2.9</v>
      </c>
      <c r="G67" t="s">
        <v>120</v>
      </c>
      <c r="H67" t="s">
        <v>121</v>
      </c>
      <c r="I67">
        <v>5</v>
      </c>
      <c r="L67" s="3" t="s">
        <v>117</v>
      </c>
      <c r="M67" s="4">
        <v>1220</v>
      </c>
      <c r="O67" t="s">
        <v>117</v>
      </c>
      <c r="P67" s="4">
        <v>1555</v>
      </c>
    </row>
    <row r="68" spans="1:16" x14ac:dyDescent="0.3">
      <c r="A68" t="s">
        <v>70</v>
      </c>
      <c r="B68">
        <v>990</v>
      </c>
      <c r="C68" s="4">
        <v>1814</v>
      </c>
      <c r="D68" s="1">
        <v>0.45</v>
      </c>
      <c r="E68">
        <v>-6</v>
      </c>
      <c r="F68">
        <v>2.2000000000000002</v>
      </c>
      <c r="G68" t="s">
        <v>120</v>
      </c>
      <c r="H68" t="s">
        <v>121</v>
      </c>
      <c r="I68">
        <v>5</v>
      </c>
      <c r="L68" s="3" t="s">
        <v>117</v>
      </c>
      <c r="M68">
        <v>990</v>
      </c>
      <c r="O68" t="s">
        <v>117</v>
      </c>
      <c r="P68" s="4">
        <v>1814</v>
      </c>
    </row>
    <row r="69" spans="1:16" x14ac:dyDescent="0.3">
      <c r="A69" t="s">
        <v>71</v>
      </c>
      <c r="B69" s="4">
        <v>1000</v>
      </c>
      <c r="C69" s="4">
        <v>2000</v>
      </c>
      <c r="D69" s="1">
        <v>0.5</v>
      </c>
      <c r="E69">
        <v>-7</v>
      </c>
      <c r="F69">
        <v>2.2999999999999998</v>
      </c>
      <c r="G69" t="s">
        <v>120</v>
      </c>
      <c r="H69" t="s">
        <v>121</v>
      </c>
      <c r="I69">
        <v>5</v>
      </c>
      <c r="L69" s="3" t="s">
        <v>117</v>
      </c>
      <c r="M69" s="4">
        <v>1000</v>
      </c>
      <c r="O69" t="s">
        <v>117</v>
      </c>
      <c r="P69" s="4">
        <v>2000</v>
      </c>
    </row>
    <row r="70" spans="1:16" x14ac:dyDescent="0.3">
      <c r="A70" t="s">
        <v>72</v>
      </c>
      <c r="B70" s="4">
        <v>3750</v>
      </c>
      <c r="C70" s="4">
        <v>6143</v>
      </c>
      <c r="D70" s="1">
        <v>0.39</v>
      </c>
      <c r="E70">
        <v>-5</v>
      </c>
      <c r="F70">
        <v>3</v>
      </c>
      <c r="G70" t="s">
        <v>120</v>
      </c>
      <c r="H70" t="s">
        <v>121</v>
      </c>
      <c r="I70">
        <v>5</v>
      </c>
      <c r="L70" s="3" t="s">
        <v>117</v>
      </c>
      <c r="M70" s="4">
        <v>3750</v>
      </c>
      <c r="O70" t="s">
        <v>117</v>
      </c>
      <c r="P70" s="4">
        <v>6143</v>
      </c>
    </row>
    <row r="71" spans="1:16" x14ac:dyDescent="0.3">
      <c r="A71" t="s">
        <v>73</v>
      </c>
      <c r="B71">
        <v>382</v>
      </c>
      <c r="C71">
        <v>700</v>
      </c>
      <c r="D71" s="1">
        <v>0.45</v>
      </c>
      <c r="E71">
        <v>-17</v>
      </c>
      <c r="F71">
        <v>2.6</v>
      </c>
      <c r="G71" t="s">
        <v>120</v>
      </c>
      <c r="H71" t="s">
        <v>121</v>
      </c>
      <c r="I71">
        <v>5</v>
      </c>
      <c r="L71" s="3" t="s">
        <v>117</v>
      </c>
      <c r="M71">
        <v>382</v>
      </c>
      <c r="O71" t="s">
        <v>117</v>
      </c>
      <c r="P71">
        <v>700</v>
      </c>
    </row>
    <row r="72" spans="1:16" x14ac:dyDescent="0.3">
      <c r="A72" t="s">
        <v>74</v>
      </c>
      <c r="B72" s="4">
        <v>2300</v>
      </c>
      <c r="C72" s="4">
        <v>3240</v>
      </c>
      <c r="D72" s="1">
        <v>0.28999999999999998</v>
      </c>
      <c r="E72">
        <v>-5</v>
      </c>
      <c r="F72">
        <v>3</v>
      </c>
      <c r="G72" t="s">
        <v>120</v>
      </c>
      <c r="H72" t="s">
        <v>121</v>
      </c>
      <c r="I72">
        <v>5</v>
      </c>
      <c r="L72" s="3" t="s">
        <v>117</v>
      </c>
      <c r="M72" s="4">
        <v>2300</v>
      </c>
      <c r="O72" t="s">
        <v>117</v>
      </c>
      <c r="P72" s="4">
        <v>3240</v>
      </c>
    </row>
    <row r="73" spans="1:16" x14ac:dyDescent="0.3">
      <c r="A73" t="s">
        <v>75</v>
      </c>
      <c r="B73">
        <v>345</v>
      </c>
      <c r="C73">
        <v>602</v>
      </c>
      <c r="D73" s="1">
        <v>0.43</v>
      </c>
      <c r="E73">
        <v>-6</v>
      </c>
      <c r="F73">
        <v>2.2999999999999998</v>
      </c>
      <c r="G73" t="s">
        <v>120</v>
      </c>
      <c r="H73" t="s">
        <v>121</v>
      </c>
      <c r="I73">
        <v>5</v>
      </c>
      <c r="L73" s="3" t="s">
        <v>117</v>
      </c>
      <c r="M73">
        <v>345</v>
      </c>
      <c r="O73" t="s">
        <v>117</v>
      </c>
      <c r="P73">
        <v>602</v>
      </c>
    </row>
    <row r="74" spans="1:16" x14ac:dyDescent="0.3">
      <c r="A74" t="s">
        <v>76</v>
      </c>
      <c r="B74">
        <v>509</v>
      </c>
      <c r="C74">
        <v>899</v>
      </c>
      <c r="D74" s="1">
        <v>0.43</v>
      </c>
      <c r="E74">
        <v>-5</v>
      </c>
      <c r="F74">
        <v>3</v>
      </c>
      <c r="G74" t="s">
        <v>120</v>
      </c>
      <c r="H74" t="s">
        <v>121</v>
      </c>
      <c r="I74">
        <v>5</v>
      </c>
      <c r="L74" s="3" t="s">
        <v>117</v>
      </c>
      <c r="M74">
        <v>509</v>
      </c>
      <c r="O74" t="s">
        <v>117</v>
      </c>
      <c r="P74">
        <v>899</v>
      </c>
    </row>
    <row r="75" spans="1:16" x14ac:dyDescent="0.3">
      <c r="A75" t="s">
        <v>77</v>
      </c>
      <c r="B75">
        <v>968</v>
      </c>
      <c r="C75" s="4">
        <v>1814</v>
      </c>
      <c r="D75" s="1">
        <v>0.47</v>
      </c>
      <c r="E75">
        <v>-6</v>
      </c>
      <c r="F75">
        <v>2.2000000000000002</v>
      </c>
      <c r="G75" t="s">
        <v>120</v>
      </c>
      <c r="H75" t="s">
        <v>121</v>
      </c>
      <c r="I75">
        <v>5</v>
      </c>
      <c r="L75" s="3" t="s">
        <v>117</v>
      </c>
      <c r="M75">
        <v>968</v>
      </c>
      <c r="O75" t="s">
        <v>117</v>
      </c>
      <c r="P75" s="4">
        <v>1814</v>
      </c>
    </row>
    <row r="76" spans="1:16" x14ac:dyDescent="0.3">
      <c r="A76" t="s">
        <v>78</v>
      </c>
      <c r="B76" s="4">
        <v>1570</v>
      </c>
      <c r="C76" s="4">
        <v>2988</v>
      </c>
      <c r="D76" s="1">
        <v>0.47</v>
      </c>
      <c r="E76">
        <v>-7</v>
      </c>
      <c r="F76">
        <v>2.1</v>
      </c>
      <c r="G76" t="s">
        <v>120</v>
      </c>
      <c r="H76" t="s">
        <v>121</v>
      </c>
      <c r="I76">
        <v>5</v>
      </c>
      <c r="L76" s="3" t="s">
        <v>117</v>
      </c>
      <c r="M76" s="4">
        <v>1570</v>
      </c>
      <c r="O76" t="s">
        <v>117</v>
      </c>
      <c r="P76" s="4">
        <v>2988</v>
      </c>
    </row>
    <row r="77" spans="1:16" x14ac:dyDescent="0.3">
      <c r="A77" t="s">
        <v>79</v>
      </c>
      <c r="B77">
        <v>790</v>
      </c>
      <c r="C77" s="4">
        <v>1485</v>
      </c>
      <c r="D77" s="1">
        <v>0.47</v>
      </c>
      <c r="L77" s="3" t="s">
        <v>117</v>
      </c>
      <c r="M77">
        <v>790</v>
      </c>
      <c r="O77" t="s">
        <v>117</v>
      </c>
      <c r="P77" s="4">
        <v>1485</v>
      </c>
    </row>
    <row r="78" spans="1:16" x14ac:dyDescent="0.3">
      <c r="A78" t="s">
        <v>80</v>
      </c>
      <c r="B78">
        <v>690</v>
      </c>
      <c r="C78" s="4">
        <v>1200</v>
      </c>
      <c r="D78" s="1">
        <v>0.43</v>
      </c>
      <c r="L78" s="3" t="s">
        <v>117</v>
      </c>
      <c r="M78">
        <v>690</v>
      </c>
      <c r="O78" t="s">
        <v>117</v>
      </c>
      <c r="P78" s="4">
        <v>1200</v>
      </c>
    </row>
    <row r="79" spans="1:16" x14ac:dyDescent="0.3">
      <c r="A79" t="s">
        <v>81</v>
      </c>
      <c r="B79" s="4">
        <v>1732</v>
      </c>
      <c r="C79" s="4">
        <v>1799</v>
      </c>
      <c r="D79" s="1">
        <v>0.04</v>
      </c>
      <c r="L79" s="3" t="s">
        <v>117</v>
      </c>
      <c r="M79" s="4">
        <v>1732</v>
      </c>
      <c r="O79" t="s">
        <v>117</v>
      </c>
      <c r="P79" s="4">
        <v>1799</v>
      </c>
    </row>
    <row r="80" spans="1:16" x14ac:dyDescent="0.3">
      <c r="A80" t="s">
        <v>82</v>
      </c>
      <c r="B80">
        <v>230</v>
      </c>
      <c r="C80">
        <v>450</v>
      </c>
      <c r="D80" s="1">
        <v>0.49</v>
      </c>
      <c r="L80" s="3" t="s">
        <v>117</v>
      </c>
      <c r="M80">
        <v>230</v>
      </c>
      <c r="O80" t="s">
        <v>117</v>
      </c>
      <c r="P80">
        <v>450</v>
      </c>
    </row>
    <row r="81" spans="1:16" x14ac:dyDescent="0.3">
      <c r="A81" t="s">
        <v>83</v>
      </c>
      <c r="B81" s="4">
        <v>1189</v>
      </c>
      <c r="C81" s="4">
        <v>2199</v>
      </c>
      <c r="D81" s="1">
        <v>0.46</v>
      </c>
      <c r="E81">
        <v>-1</v>
      </c>
      <c r="F81">
        <v>3</v>
      </c>
      <c r="G81" t="s">
        <v>120</v>
      </c>
      <c r="H81" t="s">
        <v>121</v>
      </c>
      <c r="I81">
        <v>5</v>
      </c>
      <c r="L81" s="3" t="s">
        <v>117</v>
      </c>
      <c r="M81" s="4">
        <v>1189</v>
      </c>
      <c r="O81" t="s">
        <v>117</v>
      </c>
      <c r="P81" s="4">
        <v>2199</v>
      </c>
    </row>
    <row r="82" spans="1:16" x14ac:dyDescent="0.3">
      <c r="A82" t="s">
        <v>84</v>
      </c>
      <c r="B82">
        <v>979</v>
      </c>
      <c r="C82" s="4">
        <v>1920</v>
      </c>
      <c r="D82" s="1">
        <v>0.49</v>
      </c>
      <c r="E82">
        <v>-1</v>
      </c>
      <c r="F82">
        <v>5</v>
      </c>
      <c r="G82" t="s">
        <v>120</v>
      </c>
      <c r="H82" t="s">
        <v>121</v>
      </c>
      <c r="I82">
        <v>5</v>
      </c>
      <c r="L82" s="3" t="s">
        <v>117</v>
      </c>
      <c r="M82">
        <v>979</v>
      </c>
      <c r="O82" t="s">
        <v>117</v>
      </c>
      <c r="P82" s="4">
        <v>1920</v>
      </c>
    </row>
    <row r="83" spans="1:16" x14ac:dyDescent="0.3">
      <c r="A83" t="s">
        <v>85</v>
      </c>
      <c r="B83" s="4">
        <v>1460</v>
      </c>
      <c r="C83" s="4">
        <v>2290</v>
      </c>
      <c r="D83" s="1">
        <v>0.36</v>
      </c>
      <c r="L83" s="3" t="s">
        <v>117</v>
      </c>
      <c r="M83" s="4">
        <v>1460</v>
      </c>
      <c r="O83" t="s">
        <v>117</v>
      </c>
      <c r="P83" s="4">
        <v>2290</v>
      </c>
    </row>
    <row r="84" spans="1:16" x14ac:dyDescent="0.3">
      <c r="A84" t="s">
        <v>86</v>
      </c>
      <c r="B84" s="4">
        <v>1666</v>
      </c>
      <c r="C84" s="4">
        <v>1699</v>
      </c>
      <c r="D84" s="1">
        <v>0.02</v>
      </c>
      <c r="L84" s="3" t="s">
        <v>117</v>
      </c>
      <c r="M84" s="4">
        <v>1666</v>
      </c>
      <c r="O84" t="s">
        <v>117</v>
      </c>
      <c r="P84" s="4">
        <v>1699</v>
      </c>
    </row>
    <row r="85" spans="1:16" x14ac:dyDescent="0.3">
      <c r="A85" t="s">
        <v>87</v>
      </c>
      <c r="B85">
        <v>330</v>
      </c>
      <c r="C85">
        <v>647</v>
      </c>
      <c r="D85" s="1">
        <v>0.49</v>
      </c>
      <c r="E85">
        <v>-1</v>
      </c>
      <c r="F85">
        <v>4</v>
      </c>
      <c r="G85" t="s">
        <v>120</v>
      </c>
      <c r="H85" t="s">
        <v>121</v>
      </c>
      <c r="I85">
        <v>5</v>
      </c>
      <c r="L85" s="3" t="s">
        <v>117</v>
      </c>
      <c r="M85">
        <v>330</v>
      </c>
      <c r="O85" t="s">
        <v>117</v>
      </c>
      <c r="P85">
        <v>647</v>
      </c>
    </row>
    <row r="86" spans="1:16" x14ac:dyDescent="0.3">
      <c r="A86" t="s">
        <v>48</v>
      </c>
      <c r="B86">
        <v>610</v>
      </c>
      <c r="C86" s="4">
        <v>1060</v>
      </c>
      <c r="D86" s="1">
        <v>0.42</v>
      </c>
      <c r="L86" s="3" t="s">
        <v>117</v>
      </c>
      <c r="M86">
        <v>610</v>
      </c>
      <c r="O86" t="s">
        <v>117</v>
      </c>
      <c r="P86" s="4">
        <v>1060</v>
      </c>
    </row>
    <row r="87" spans="1:16" x14ac:dyDescent="0.3">
      <c r="A87" t="s">
        <v>54</v>
      </c>
      <c r="B87">
        <v>176</v>
      </c>
      <c r="C87">
        <v>345</v>
      </c>
      <c r="D87" s="1">
        <v>0.49</v>
      </c>
      <c r="L87" s="3" t="s">
        <v>117</v>
      </c>
      <c r="M87">
        <v>176</v>
      </c>
      <c r="O87" t="s">
        <v>117</v>
      </c>
      <c r="P87">
        <v>345</v>
      </c>
    </row>
    <row r="88" spans="1:16" x14ac:dyDescent="0.3">
      <c r="A88" t="s">
        <v>88</v>
      </c>
      <c r="B88" s="4">
        <v>1466</v>
      </c>
      <c r="C88" s="4">
        <v>1699</v>
      </c>
      <c r="D88" s="1">
        <v>0.14000000000000001</v>
      </c>
      <c r="L88" s="3" t="s">
        <v>117</v>
      </c>
      <c r="M88" s="4">
        <v>1466</v>
      </c>
      <c r="O88" t="s">
        <v>117</v>
      </c>
      <c r="P88" s="4">
        <v>1699</v>
      </c>
    </row>
    <row r="89" spans="1:16" x14ac:dyDescent="0.3">
      <c r="A89" t="s">
        <v>89</v>
      </c>
      <c r="B89">
        <v>274</v>
      </c>
      <c r="C89">
        <v>537</v>
      </c>
      <c r="D89" s="1">
        <v>0.49</v>
      </c>
      <c r="L89" s="3" t="s">
        <v>117</v>
      </c>
      <c r="M89">
        <v>274</v>
      </c>
      <c r="O89" t="s">
        <v>117</v>
      </c>
      <c r="P89">
        <v>537</v>
      </c>
    </row>
    <row r="90" spans="1:16" x14ac:dyDescent="0.3">
      <c r="A90" t="s">
        <v>90</v>
      </c>
      <c r="B90">
        <v>799</v>
      </c>
      <c r="C90">
        <v>900</v>
      </c>
      <c r="D90" s="1">
        <v>0.11</v>
      </c>
      <c r="L90" s="3" t="s">
        <v>117</v>
      </c>
      <c r="M90">
        <v>799</v>
      </c>
      <c r="O90" t="s">
        <v>117</v>
      </c>
      <c r="P90">
        <v>900</v>
      </c>
    </row>
    <row r="91" spans="1:16" x14ac:dyDescent="0.3">
      <c r="A91" t="s">
        <v>62</v>
      </c>
      <c r="B91">
        <v>657</v>
      </c>
      <c r="C91" s="4">
        <v>1288</v>
      </c>
      <c r="D91" s="1">
        <v>0.49</v>
      </c>
      <c r="L91" s="3" t="s">
        <v>117</v>
      </c>
      <c r="M91">
        <v>657</v>
      </c>
      <c r="O91" t="s">
        <v>117</v>
      </c>
      <c r="P91" s="4">
        <v>1288</v>
      </c>
    </row>
    <row r="92" spans="1:16" x14ac:dyDescent="0.3">
      <c r="A92" t="s">
        <v>91</v>
      </c>
      <c r="B92" s="4">
        <v>1468</v>
      </c>
      <c r="C92" s="4">
        <v>1699</v>
      </c>
      <c r="D92" s="1">
        <v>0.14000000000000001</v>
      </c>
      <c r="L92" s="3" t="s">
        <v>117</v>
      </c>
      <c r="M92" s="4">
        <v>1468</v>
      </c>
      <c r="O92" t="s">
        <v>117</v>
      </c>
      <c r="P92" s="4">
        <v>1699</v>
      </c>
    </row>
    <row r="93" spans="1:16" x14ac:dyDescent="0.3">
      <c r="A93" t="s">
        <v>92</v>
      </c>
      <c r="B93">
        <v>630</v>
      </c>
      <c r="C93" s="4">
        <v>1100</v>
      </c>
      <c r="D93" s="1">
        <v>0.43</v>
      </c>
      <c r="L93" s="3" t="s">
        <v>117</v>
      </c>
      <c r="M93">
        <v>630</v>
      </c>
      <c r="O93" t="s">
        <v>117</v>
      </c>
      <c r="P93" s="4">
        <v>1100</v>
      </c>
    </row>
    <row r="94" spans="1:16" x14ac:dyDescent="0.3">
      <c r="A94" t="s">
        <v>93</v>
      </c>
      <c r="B94">
        <v>850</v>
      </c>
      <c r="C94" s="4">
        <v>1700</v>
      </c>
      <c r="D94" s="1">
        <v>0.5</v>
      </c>
      <c r="L94" s="3" t="s">
        <v>117</v>
      </c>
      <c r="M94">
        <v>850</v>
      </c>
      <c r="O94" t="s">
        <v>117</v>
      </c>
      <c r="P94" s="4">
        <v>1700</v>
      </c>
    </row>
    <row r="95" spans="1:16" x14ac:dyDescent="0.3">
      <c r="A95" t="s">
        <v>94</v>
      </c>
      <c r="B95" s="4">
        <v>1300</v>
      </c>
      <c r="C95" s="4">
        <v>2500</v>
      </c>
      <c r="D95" s="1">
        <v>0.48</v>
      </c>
      <c r="L95" s="3" t="s">
        <v>117</v>
      </c>
      <c r="M95" s="4">
        <v>1300</v>
      </c>
      <c r="O95" t="s">
        <v>117</v>
      </c>
      <c r="P95" s="4">
        <v>2500</v>
      </c>
    </row>
    <row r="96" spans="1:16" x14ac:dyDescent="0.3">
      <c r="A96" t="s">
        <v>95</v>
      </c>
      <c r="B96">
        <v>105</v>
      </c>
      <c r="C96">
        <v>200</v>
      </c>
      <c r="D96" s="1">
        <v>0.48</v>
      </c>
      <c r="L96" s="3" t="s">
        <v>117</v>
      </c>
      <c r="M96">
        <v>105</v>
      </c>
      <c r="O96" t="s">
        <v>117</v>
      </c>
      <c r="P96">
        <v>200</v>
      </c>
    </row>
    <row r="97" spans="1:16" x14ac:dyDescent="0.3">
      <c r="A97" t="s">
        <v>96</v>
      </c>
      <c r="B97">
        <v>899</v>
      </c>
      <c r="C97" s="4">
        <v>1699</v>
      </c>
      <c r="D97" s="1">
        <v>0.47</v>
      </c>
      <c r="L97" s="3" t="s">
        <v>117</v>
      </c>
      <c r="M97">
        <v>899</v>
      </c>
      <c r="O97" t="s">
        <v>117</v>
      </c>
      <c r="P97" s="4">
        <v>1699</v>
      </c>
    </row>
    <row r="98" spans="1:16" x14ac:dyDescent="0.3">
      <c r="A98" t="s">
        <v>96</v>
      </c>
      <c r="B98">
        <v>899</v>
      </c>
      <c r="C98" s="4">
        <v>1699</v>
      </c>
      <c r="D98" s="1">
        <v>0.47</v>
      </c>
      <c r="L98" s="3" t="s">
        <v>117</v>
      </c>
      <c r="M98">
        <v>899</v>
      </c>
      <c r="O98" t="s">
        <v>117</v>
      </c>
      <c r="P98" s="4">
        <v>1699</v>
      </c>
    </row>
    <row r="99" spans="1:16" x14ac:dyDescent="0.3">
      <c r="A99" t="s">
        <v>97</v>
      </c>
      <c r="B99" s="4">
        <v>1200</v>
      </c>
      <c r="C99" s="4">
        <v>2400</v>
      </c>
      <c r="D99" s="1">
        <v>0.5</v>
      </c>
      <c r="L99" s="3" t="s">
        <v>117</v>
      </c>
      <c r="M99" s="4">
        <v>1200</v>
      </c>
      <c r="O99" t="s">
        <v>117</v>
      </c>
      <c r="P99" s="4">
        <v>2400</v>
      </c>
    </row>
    <row r="100" spans="1:16" x14ac:dyDescent="0.3">
      <c r="A100" t="s">
        <v>98</v>
      </c>
      <c r="B100" s="4">
        <v>1526</v>
      </c>
      <c r="C100" s="4">
        <v>1660</v>
      </c>
      <c r="D100" s="1">
        <v>0.08</v>
      </c>
      <c r="L100" s="3" t="s">
        <v>117</v>
      </c>
      <c r="M100" s="4">
        <v>1526</v>
      </c>
      <c r="O100" t="s">
        <v>117</v>
      </c>
      <c r="P100" s="4">
        <v>1660</v>
      </c>
    </row>
    <row r="101" spans="1:16" x14ac:dyDescent="0.3">
      <c r="A101" t="s">
        <v>99</v>
      </c>
      <c r="B101" s="4">
        <v>1462</v>
      </c>
      <c r="C101" s="4">
        <v>1499</v>
      </c>
      <c r="D101" s="1">
        <v>0.02</v>
      </c>
      <c r="L101" s="3" t="s">
        <v>117</v>
      </c>
      <c r="M101" s="4">
        <v>1462</v>
      </c>
      <c r="O101" t="s">
        <v>117</v>
      </c>
      <c r="P101" s="4">
        <v>1499</v>
      </c>
    </row>
    <row r="102" spans="1:16" x14ac:dyDescent="0.3">
      <c r="A102" t="s">
        <v>100</v>
      </c>
      <c r="B102">
        <v>248</v>
      </c>
      <c r="C102">
        <v>486</v>
      </c>
      <c r="D102" s="1">
        <v>0.49</v>
      </c>
      <c r="L102" s="3" t="s">
        <v>117</v>
      </c>
      <c r="M102">
        <v>248</v>
      </c>
      <c r="O102" t="s">
        <v>117</v>
      </c>
      <c r="P102">
        <v>486</v>
      </c>
    </row>
    <row r="103" spans="1:16" x14ac:dyDescent="0.3">
      <c r="A103" t="s">
        <v>101</v>
      </c>
      <c r="B103" s="4">
        <v>3546</v>
      </c>
      <c r="C103" s="4">
        <v>3699</v>
      </c>
      <c r="D103" s="1">
        <v>0.04</v>
      </c>
      <c r="L103" s="3" t="s">
        <v>117</v>
      </c>
      <c r="M103" s="4">
        <v>3546</v>
      </c>
      <c r="O103" t="s">
        <v>117</v>
      </c>
      <c r="P103" s="4">
        <v>3699</v>
      </c>
    </row>
    <row r="104" spans="1:16" x14ac:dyDescent="0.3">
      <c r="A104" t="s">
        <v>102</v>
      </c>
      <c r="B104">
        <v>525</v>
      </c>
      <c r="C104" s="4">
        <v>1029</v>
      </c>
      <c r="D104" s="1">
        <v>0.49</v>
      </c>
      <c r="L104" s="3" t="s">
        <v>117</v>
      </c>
      <c r="M104">
        <v>525</v>
      </c>
      <c r="O104" t="s">
        <v>117</v>
      </c>
      <c r="P104" s="4">
        <v>1029</v>
      </c>
    </row>
    <row r="105" spans="1:16" x14ac:dyDescent="0.3">
      <c r="A105" t="s">
        <v>103</v>
      </c>
      <c r="B105" s="4">
        <v>1080</v>
      </c>
      <c r="C105" s="4">
        <v>1874</v>
      </c>
      <c r="D105" s="1">
        <v>0.42</v>
      </c>
      <c r="L105" s="3" t="s">
        <v>117</v>
      </c>
      <c r="M105" s="4">
        <v>1080</v>
      </c>
      <c r="O105" t="s">
        <v>117</v>
      </c>
      <c r="P105" s="4">
        <v>1874</v>
      </c>
    </row>
    <row r="106" spans="1:16" x14ac:dyDescent="0.3">
      <c r="A106" t="s">
        <v>104</v>
      </c>
      <c r="B106" s="4">
        <v>3640</v>
      </c>
      <c r="C106" s="4">
        <v>4588</v>
      </c>
      <c r="D106" s="1">
        <v>0.21</v>
      </c>
      <c r="E106">
        <v>-1</v>
      </c>
      <c r="F106">
        <v>5</v>
      </c>
      <c r="G106" t="s">
        <v>120</v>
      </c>
      <c r="H106" t="s">
        <v>121</v>
      </c>
      <c r="I106">
        <v>5</v>
      </c>
      <c r="L106" s="3" t="s">
        <v>117</v>
      </c>
      <c r="M106" s="4">
        <v>3640</v>
      </c>
      <c r="O106" t="s">
        <v>117</v>
      </c>
      <c r="P106" s="4">
        <v>4588</v>
      </c>
    </row>
    <row r="107" spans="1:16" x14ac:dyDescent="0.3">
      <c r="A107" t="s">
        <v>105</v>
      </c>
      <c r="B107" s="4">
        <v>1420</v>
      </c>
      <c r="C107" s="4">
        <v>2420</v>
      </c>
      <c r="D107" s="1">
        <v>0.41</v>
      </c>
      <c r="L107" s="3" t="s">
        <v>117</v>
      </c>
      <c r="M107" s="4">
        <v>1420</v>
      </c>
      <c r="O107" t="s">
        <v>117</v>
      </c>
      <c r="P107" s="4">
        <v>2420</v>
      </c>
    </row>
    <row r="108" spans="1:16" x14ac:dyDescent="0.3">
      <c r="A108" t="s">
        <v>106</v>
      </c>
      <c r="B108" s="4">
        <v>1875</v>
      </c>
      <c r="C108" s="4">
        <v>1899</v>
      </c>
      <c r="D108" s="1">
        <v>0.01</v>
      </c>
      <c r="L108" s="3" t="s">
        <v>117</v>
      </c>
      <c r="M108" s="4">
        <v>1875</v>
      </c>
      <c r="O108" t="s">
        <v>117</v>
      </c>
      <c r="P108" s="4">
        <v>1899</v>
      </c>
    </row>
    <row r="109" spans="1:16" x14ac:dyDescent="0.3">
      <c r="A109" t="s">
        <v>107</v>
      </c>
      <c r="B109">
        <v>198</v>
      </c>
      <c r="C109">
        <v>260</v>
      </c>
      <c r="D109" s="1">
        <v>0.24</v>
      </c>
      <c r="L109" s="3" t="s">
        <v>117</v>
      </c>
      <c r="M109">
        <v>198</v>
      </c>
      <c r="O109" t="s">
        <v>117</v>
      </c>
      <c r="P109">
        <v>260</v>
      </c>
    </row>
    <row r="110" spans="1:16" x14ac:dyDescent="0.3">
      <c r="A110" t="s">
        <v>108</v>
      </c>
      <c r="B110" s="4">
        <v>1150</v>
      </c>
      <c r="C110" s="4">
        <v>1737</v>
      </c>
      <c r="D110" s="1">
        <v>0.34</v>
      </c>
      <c r="L110" s="3" t="s">
        <v>117</v>
      </c>
      <c r="M110" s="4">
        <v>1150</v>
      </c>
      <c r="O110" t="s">
        <v>117</v>
      </c>
      <c r="P110" s="4">
        <v>1737</v>
      </c>
    </row>
    <row r="111" spans="1:16" x14ac:dyDescent="0.3">
      <c r="A111" t="s">
        <v>109</v>
      </c>
      <c r="B111" s="4">
        <v>1190</v>
      </c>
      <c r="C111" s="4">
        <v>1810</v>
      </c>
      <c r="D111" s="1">
        <v>0.34</v>
      </c>
      <c r="L111" s="3" t="s">
        <v>117</v>
      </c>
      <c r="M111" s="4">
        <v>1190</v>
      </c>
      <c r="O111" t="s">
        <v>117</v>
      </c>
      <c r="P111" s="4">
        <v>1810</v>
      </c>
    </row>
    <row r="112" spans="1:16" x14ac:dyDescent="0.3">
      <c r="A112" t="s">
        <v>110</v>
      </c>
      <c r="B112" s="4">
        <v>1658</v>
      </c>
      <c r="C112" s="4">
        <v>1699</v>
      </c>
      <c r="D112" s="1">
        <v>0.02</v>
      </c>
      <c r="L112" s="3" t="s">
        <v>117</v>
      </c>
      <c r="M112" s="4">
        <v>1658</v>
      </c>
      <c r="O112" t="s">
        <v>117</v>
      </c>
      <c r="P112" s="4">
        <v>1699</v>
      </c>
    </row>
    <row r="113" spans="1:16" x14ac:dyDescent="0.3">
      <c r="A113" t="s">
        <v>111</v>
      </c>
      <c r="B113" s="4">
        <v>1768</v>
      </c>
      <c r="C113" s="4">
        <v>1799</v>
      </c>
      <c r="D113" s="1">
        <v>0.02</v>
      </c>
      <c r="L113" s="3" t="s">
        <v>117</v>
      </c>
      <c r="M113" s="4">
        <v>1768</v>
      </c>
      <c r="O113" t="s">
        <v>117</v>
      </c>
      <c r="P113" s="4">
        <v>1799</v>
      </c>
    </row>
    <row r="114" spans="1:16" x14ac:dyDescent="0.3">
      <c r="A114" t="s">
        <v>112</v>
      </c>
      <c r="B114">
        <v>199</v>
      </c>
      <c r="C114">
        <v>553</v>
      </c>
      <c r="D114" s="1">
        <v>0.64</v>
      </c>
      <c r="L114" s="3" t="s">
        <v>117</v>
      </c>
      <c r="M114">
        <v>199</v>
      </c>
      <c r="O114" t="s">
        <v>117</v>
      </c>
      <c r="P114">
        <v>553</v>
      </c>
    </row>
    <row r="115" spans="1:16" x14ac:dyDescent="0.3">
      <c r="A115" t="s">
        <v>113</v>
      </c>
      <c r="B115">
        <v>450</v>
      </c>
      <c r="C115">
        <v>900</v>
      </c>
      <c r="D115" s="1">
        <v>0.5</v>
      </c>
      <c r="E115">
        <v>-1</v>
      </c>
      <c r="F115">
        <v>2</v>
      </c>
      <c r="G115" t="s">
        <v>120</v>
      </c>
      <c r="H115" t="s">
        <v>121</v>
      </c>
      <c r="I115">
        <v>5</v>
      </c>
      <c r="L115" s="3" t="s">
        <v>117</v>
      </c>
      <c r="M115">
        <v>450</v>
      </c>
      <c r="O115" t="s">
        <v>117</v>
      </c>
      <c r="P115">
        <v>900</v>
      </c>
    </row>
    <row r="116" spans="1:16" x14ac:dyDescent="0.3">
      <c r="A116" t="s">
        <v>114</v>
      </c>
      <c r="B116">
        <v>169</v>
      </c>
      <c r="C116">
        <v>320</v>
      </c>
      <c r="D116" s="1">
        <v>0.47</v>
      </c>
      <c r="L116" s="3" t="s">
        <v>117</v>
      </c>
      <c r="M116">
        <v>169</v>
      </c>
      <c r="O116" t="s">
        <v>117</v>
      </c>
      <c r="P116">
        <v>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topLeftCell="A5" workbookViewId="0">
      <selection activeCell="D14" sqref="D14"/>
    </sheetView>
  </sheetViews>
  <sheetFormatPr defaultRowHeight="14.4" x14ac:dyDescent="0.3"/>
  <cols>
    <col min="1" max="1" width="12.5546875" bestFit="1" customWidth="1"/>
    <col min="2" max="2" width="18.109375" bestFit="1" customWidth="1"/>
    <col min="3" max="3" width="16.21875" bestFit="1" customWidth="1"/>
    <col min="4" max="4" width="16" bestFit="1" customWidth="1"/>
  </cols>
  <sheetData>
    <row r="3" spans="1:4" x14ac:dyDescent="0.3">
      <c r="A3" s="20" t="s">
        <v>132</v>
      </c>
      <c r="B3" t="s">
        <v>137</v>
      </c>
      <c r="C3" t="s">
        <v>138</v>
      </c>
      <c r="D3" t="s">
        <v>140</v>
      </c>
    </row>
    <row r="4" spans="1:4" x14ac:dyDescent="0.3">
      <c r="A4" s="21" t="s">
        <v>133</v>
      </c>
      <c r="B4" s="1">
        <v>0.4837288135593219</v>
      </c>
      <c r="C4" s="25">
        <v>59</v>
      </c>
      <c r="D4" s="23">
        <v>3.7490633363068655</v>
      </c>
    </row>
    <row r="5" spans="1:4" x14ac:dyDescent="0.3">
      <c r="A5" s="21" t="s">
        <v>134</v>
      </c>
      <c r="B5" s="1">
        <v>7.8947368421052641E-2</v>
      </c>
      <c r="C5" s="25">
        <v>19</v>
      </c>
      <c r="D5" s="23">
        <v>3.8659279778393363</v>
      </c>
    </row>
    <row r="6" spans="1:4" x14ac:dyDescent="0.3">
      <c r="A6" s="21" t="s">
        <v>135</v>
      </c>
      <c r="B6" s="1">
        <v>0.31354838709677407</v>
      </c>
      <c r="C6" s="25">
        <v>31</v>
      </c>
      <c r="D6" s="23">
        <v>4.1711375212224118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4" x14ac:dyDescent="0.3"/>
  <cols>
    <col min="1" max="1" width="12.5546875" bestFit="1" customWidth="1"/>
    <col min="2" max="2" width="15.5546875" bestFit="1" customWidth="1"/>
  </cols>
  <sheetData>
    <row r="3" spans="1:2" x14ac:dyDescent="0.3">
      <c r="A3" s="20" t="s">
        <v>132</v>
      </c>
      <c r="B3" t="s">
        <v>144</v>
      </c>
    </row>
    <row r="4" spans="1:2" x14ac:dyDescent="0.3">
      <c r="A4" s="21" t="s">
        <v>141</v>
      </c>
      <c r="B4" s="22">
        <v>74</v>
      </c>
    </row>
    <row r="5" spans="1:2" x14ac:dyDescent="0.3">
      <c r="A5" s="21" t="s">
        <v>142</v>
      </c>
      <c r="B5" s="22">
        <v>23</v>
      </c>
    </row>
    <row r="6" spans="1:2" x14ac:dyDescent="0.3">
      <c r="A6" s="21" t="s">
        <v>143</v>
      </c>
      <c r="B6" s="22">
        <v>12</v>
      </c>
    </row>
    <row r="7" spans="1:2" x14ac:dyDescent="0.3">
      <c r="A7" s="21" t="s">
        <v>136</v>
      </c>
      <c r="B7" s="22">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0"/>
  <sheetViews>
    <sheetView topLeftCell="A121" workbookViewId="0">
      <selection activeCell="A138" sqref="A138"/>
    </sheetView>
  </sheetViews>
  <sheetFormatPr defaultRowHeight="14.4" x14ac:dyDescent="0.3"/>
  <cols>
    <col min="1" max="1" width="87.88671875" customWidth="1"/>
    <col min="2" max="2" width="15.5546875" style="5" bestFit="1" customWidth="1"/>
    <col min="3" max="3" width="16" style="6" bestFit="1" customWidth="1"/>
    <col min="4" max="4" width="18.109375" style="6" bestFit="1" customWidth="1"/>
    <col min="5" max="5" width="13.5546875" bestFit="1" customWidth="1"/>
  </cols>
  <sheetData>
    <row r="3" spans="1:5" x14ac:dyDescent="0.3">
      <c r="A3" s="20" t="s">
        <v>132</v>
      </c>
      <c r="B3" t="s">
        <v>144</v>
      </c>
      <c r="C3" t="s">
        <v>140</v>
      </c>
      <c r="D3" t="s">
        <v>137</v>
      </c>
      <c r="E3" t="s">
        <v>145</v>
      </c>
    </row>
    <row r="4" spans="1:5" x14ac:dyDescent="0.3">
      <c r="A4" s="21" t="s">
        <v>44</v>
      </c>
      <c r="B4" s="24">
        <v>1</v>
      </c>
      <c r="C4" s="24">
        <v>4.5</v>
      </c>
      <c r="D4" s="24">
        <v>0.38</v>
      </c>
      <c r="E4" s="24">
        <v>2</v>
      </c>
    </row>
    <row r="5" spans="1:5" x14ac:dyDescent="0.3">
      <c r="A5" s="21" t="s">
        <v>17</v>
      </c>
      <c r="B5" s="24">
        <v>1</v>
      </c>
      <c r="C5" s="24">
        <v>4.7</v>
      </c>
      <c r="D5" s="24">
        <v>0.34</v>
      </c>
      <c r="E5" s="24">
        <v>39</v>
      </c>
    </row>
    <row r="6" spans="1:5" x14ac:dyDescent="0.3">
      <c r="A6" s="21" t="s">
        <v>6</v>
      </c>
      <c r="B6" s="24">
        <v>1</v>
      </c>
      <c r="C6" s="24">
        <v>4.5</v>
      </c>
      <c r="D6" s="24">
        <v>0.38</v>
      </c>
      <c r="E6" s="24">
        <v>2</v>
      </c>
    </row>
    <row r="7" spans="1:5" x14ac:dyDescent="0.3">
      <c r="A7" s="21" t="s">
        <v>33</v>
      </c>
      <c r="B7" s="24">
        <v>1</v>
      </c>
      <c r="C7" s="24">
        <v>3.8</v>
      </c>
      <c r="D7" s="24">
        <v>0.32</v>
      </c>
      <c r="E7" s="24">
        <v>13</v>
      </c>
    </row>
    <row r="8" spans="1:5" x14ac:dyDescent="0.3">
      <c r="A8" s="21" t="s">
        <v>37</v>
      </c>
      <c r="B8" s="24">
        <v>1</v>
      </c>
      <c r="C8" s="24">
        <v>4.7</v>
      </c>
      <c r="D8" s="24">
        <v>0.34</v>
      </c>
      <c r="E8" s="24">
        <v>12</v>
      </c>
    </row>
    <row r="9" spans="1:5" x14ac:dyDescent="0.3">
      <c r="A9" s="21" t="s">
        <v>67</v>
      </c>
      <c r="B9" s="24">
        <v>1</v>
      </c>
      <c r="C9" s="24">
        <v>2.8</v>
      </c>
      <c r="D9" s="24">
        <v>0.49</v>
      </c>
      <c r="E9" s="24">
        <v>69</v>
      </c>
    </row>
    <row r="10" spans="1:5" x14ac:dyDescent="0.3">
      <c r="A10" s="21" t="s">
        <v>63</v>
      </c>
      <c r="B10" s="24">
        <v>1</v>
      </c>
      <c r="C10" s="24">
        <v>3.8894736842105258</v>
      </c>
      <c r="D10" s="24">
        <v>0.27</v>
      </c>
      <c r="E10" s="24">
        <v>12.684210526315789</v>
      </c>
    </row>
    <row r="11" spans="1:5" x14ac:dyDescent="0.3">
      <c r="A11" s="21" t="s">
        <v>15</v>
      </c>
      <c r="B11" s="24">
        <v>1</v>
      </c>
      <c r="C11" s="24">
        <v>3.8</v>
      </c>
      <c r="D11" s="24">
        <v>0.45</v>
      </c>
      <c r="E11" s="24">
        <v>5</v>
      </c>
    </row>
    <row r="12" spans="1:5" x14ac:dyDescent="0.3">
      <c r="A12" s="21" t="s">
        <v>12</v>
      </c>
      <c r="B12" s="24">
        <v>1</v>
      </c>
      <c r="C12" s="24">
        <v>4.5999999999999996</v>
      </c>
      <c r="D12" s="24">
        <v>0.24</v>
      </c>
      <c r="E12" s="24">
        <v>55</v>
      </c>
    </row>
    <row r="13" spans="1:5" x14ac:dyDescent="0.3">
      <c r="A13" s="21" t="s">
        <v>107</v>
      </c>
      <c r="B13" s="24">
        <v>1</v>
      </c>
      <c r="C13" s="24">
        <v>3.8894736842105258</v>
      </c>
      <c r="D13" s="24">
        <v>0.24</v>
      </c>
      <c r="E13" s="24">
        <v>12.684210526315789</v>
      </c>
    </row>
    <row r="14" spans="1:5" x14ac:dyDescent="0.3">
      <c r="A14" s="21" t="s">
        <v>86</v>
      </c>
      <c r="B14" s="24">
        <v>1</v>
      </c>
      <c r="C14" s="24">
        <v>3.8894736842105258</v>
      </c>
      <c r="D14" s="24">
        <v>0.02</v>
      </c>
      <c r="E14" s="24">
        <v>12.684210526315789</v>
      </c>
    </row>
    <row r="15" spans="1:5" x14ac:dyDescent="0.3">
      <c r="A15" s="21" t="s">
        <v>11</v>
      </c>
      <c r="B15" s="24">
        <v>1</v>
      </c>
      <c r="C15" s="24">
        <v>4</v>
      </c>
      <c r="D15" s="24">
        <v>0.09</v>
      </c>
      <c r="E15" s="24">
        <v>15</v>
      </c>
    </row>
    <row r="16" spans="1:5" x14ac:dyDescent="0.3">
      <c r="A16" s="21" t="s">
        <v>106</v>
      </c>
      <c r="B16" s="24">
        <v>1</v>
      </c>
      <c r="C16" s="24">
        <v>3.8894736842105258</v>
      </c>
      <c r="D16" s="24">
        <v>0.01</v>
      </c>
      <c r="E16" s="24">
        <v>12.684210526315789</v>
      </c>
    </row>
    <row r="17" spans="1:5" x14ac:dyDescent="0.3">
      <c r="A17" s="21" t="s">
        <v>97</v>
      </c>
      <c r="B17" s="24">
        <v>1</v>
      </c>
      <c r="C17" s="24">
        <v>3.8894736842105258</v>
      </c>
      <c r="D17" s="24">
        <v>0.5</v>
      </c>
      <c r="E17" s="24">
        <v>12.684210526315789</v>
      </c>
    </row>
    <row r="18" spans="1:5" x14ac:dyDescent="0.3">
      <c r="A18" s="21" t="s">
        <v>53</v>
      </c>
      <c r="B18" s="24">
        <v>1</v>
      </c>
      <c r="C18" s="24">
        <v>3.8894736842105258</v>
      </c>
      <c r="D18" s="24">
        <v>0.38</v>
      </c>
      <c r="E18" s="24">
        <v>12.684210526315789</v>
      </c>
    </row>
    <row r="19" spans="1:5" x14ac:dyDescent="0.3">
      <c r="A19" s="21" t="s">
        <v>79</v>
      </c>
      <c r="B19" s="24">
        <v>1</v>
      </c>
      <c r="C19" s="24">
        <v>3.8894736842105258</v>
      </c>
      <c r="D19" s="24">
        <v>0.47</v>
      </c>
      <c r="E19" s="24">
        <v>12.684210526315789</v>
      </c>
    </row>
    <row r="20" spans="1:5" x14ac:dyDescent="0.3">
      <c r="A20" s="21" t="s">
        <v>72</v>
      </c>
      <c r="B20" s="24">
        <v>1</v>
      </c>
      <c r="C20" s="24">
        <v>3</v>
      </c>
      <c r="D20" s="24">
        <v>0.39</v>
      </c>
      <c r="E20" s="24">
        <v>5</v>
      </c>
    </row>
    <row r="21" spans="1:5" x14ac:dyDescent="0.3">
      <c r="A21" s="21" t="s">
        <v>71</v>
      </c>
      <c r="B21" s="24">
        <v>1</v>
      </c>
      <c r="C21" s="24">
        <v>2.2999999999999998</v>
      </c>
      <c r="D21" s="24">
        <v>0.5</v>
      </c>
      <c r="E21" s="24">
        <v>7</v>
      </c>
    </row>
    <row r="22" spans="1:5" x14ac:dyDescent="0.3">
      <c r="A22" s="21" t="s">
        <v>25</v>
      </c>
      <c r="B22" s="24">
        <v>1</v>
      </c>
      <c r="C22" s="24">
        <v>4.5999999999999996</v>
      </c>
      <c r="D22" s="24">
        <v>0.49</v>
      </c>
      <c r="E22" s="24">
        <v>44</v>
      </c>
    </row>
    <row r="23" spans="1:5" x14ac:dyDescent="0.3">
      <c r="A23" s="21" t="s">
        <v>80</v>
      </c>
      <c r="B23" s="24">
        <v>1</v>
      </c>
      <c r="C23" s="24">
        <v>3.8894736842105258</v>
      </c>
      <c r="D23" s="24">
        <v>0.43</v>
      </c>
      <c r="E23" s="24">
        <v>12.684210526315789</v>
      </c>
    </row>
    <row r="24" spans="1:5" x14ac:dyDescent="0.3">
      <c r="A24" s="21" t="s">
        <v>26</v>
      </c>
      <c r="B24" s="24">
        <v>1</v>
      </c>
      <c r="C24" s="24">
        <v>3.3</v>
      </c>
      <c r="D24" s="24">
        <v>0.53</v>
      </c>
      <c r="E24" s="24">
        <v>13</v>
      </c>
    </row>
    <row r="25" spans="1:5" x14ac:dyDescent="0.3">
      <c r="A25" s="21" t="s">
        <v>100</v>
      </c>
      <c r="B25" s="24">
        <v>1</v>
      </c>
      <c r="C25" s="24">
        <v>3.8894736842105258</v>
      </c>
      <c r="D25" s="24">
        <v>0.49</v>
      </c>
      <c r="E25" s="24">
        <v>12.684210526315789</v>
      </c>
    </row>
    <row r="26" spans="1:5" x14ac:dyDescent="0.3">
      <c r="A26" s="21" t="s">
        <v>18</v>
      </c>
      <c r="B26" s="24">
        <v>1</v>
      </c>
      <c r="C26" s="24">
        <v>4.8</v>
      </c>
      <c r="D26" s="24">
        <v>0.47</v>
      </c>
      <c r="E26" s="24">
        <v>12</v>
      </c>
    </row>
    <row r="27" spans="1:5" x14ac:dyDescent="0.3">
      <c r="A27" s="21" t="s">
        <v>46</v>
      </c>
      <c r="B27" s="24">
        <v>1</v>
      </c>
      <c r="C27" s="24">
        <v>3.8894736842105258</v>
      </c>
      <c r="D27" s="24">
        <v>0.49</v>
      </c>
      <c r="E27" s="24">
        <v>12.684210526315789</v>
      </c>
    </row>
    <row r="28" spans="1:5" x14ac:dyDescent="0.3">
      <c r="A28" s="21" t="s">
        <v>27</v>
      </c>
      <c r="B28" s="24">
        <v>1</v>
      </c>
      <c r="C28" s="24">
        <v>3.8894736842105258</v>
      </c>
      <c r="D28" s="24">
        <v>0.42</v>
      </c>
      <c r="E28" s="24">
        <v>12.684210526315789</v>
      </c>
    </row>
    <row r="29" spans="1:5" x14ac:dyDescent="0.3">
      <c r="A29" s="21" t="s">
        <v>64</v>
      </c>
      <c r="B29" s="24">
        <v>1</v>
      </c>
      <c r="C29" s="24">
        <v>2.5</v>
      </c>
      <c r="D29" s="24">
        <v>0.13</v>
      </c>
      <c r="E29" s="24">
        <v>6</v>
      </c>
    </row>
    <row r="30" spans="1:5" x14ac:dyDescent="0.3">
      <c r="A30" s="21" t="s">
        <v>34</v>
      </c>
      <c r="B30" s="24">
        <v>1</v>
      </c>
      <c r="C30" s="24">
        <v>4.0999999999999996</v>
      </c>
      <c r="D30" s="24">
        <v>0.3</v>
      </c>
      <c r="E30" s="24">
        <v>20</v>
      </c>
    </row>
    <row r="31" spans="1:5" x14ac:dyDescent="0.3">
      <c r="A31" s="21" t="s">
        <v>40</v>
      </c>
      <c r="B31" s="24">
        <v>1</v>
      </c>
      <c r="C31" s="24">
        <v>4.5</v>
      </c>
      <c r="D31" s="24">
        <v>0.27</v>
      </c>
      <c r="E31" s="24">
        <v>32</v>
      </c>
    </row>
    <row r="32" spans="1:5" x14ac:dyDescent="0.3">
      <c r="A32" s="21" t="s">
        <v>39</v>
      </c>
      <c r="B32" s="24">
        <v>1</v>
      </c>
      <c r="C32" s="24">
        <v>4.7</v>
      </c>
      <c r="D32" s="24">
        <v>0.27</v>
      </c>
      <c r="E32" s="24">
        <v>20</v>
      </c>
    </row>
    <row r="33" spans="1:5" x14ac:dyDescent="0.3">
      <c r="A33" s="21" t="s">
        <v>85</v>
      </c>
      <c r="B33" s="24">
        <v>1</v>
      </c>
      <c r="C33" s="24">
        <v>3.8894736842105258</v>
      </c>
      <c r="D33" s="24">
        <v>0.36</v>
      </c>
      <c r="E33" s="24">
        <v>12.684210526315789</v>
      </c>
    </row>
    <row r="34" spans="1:5" x14ac:dyDescent="0.3">
      <c r="A34" s="21" t="s">
        <v>66</v>
      </c>
      <c r="B34" s="24">
        <v>1</v>
      </c>
      <c r="C34" s="24">
        <v>2.1</v>
      </c>
      <c r="D34" s="24">
        <v>0.55000000000000004</v>
      </c>
      <c r="E34" s="24">
        <v>13</v>
      </c>
    </row>
    <row r="35" spans="1:5" x14ac:dyDescent="0.3">
      <c r="A35" s="21" t="s">
        <v>112</v>
      </c>
      <c r="B35" s="24">
        <v>1</v>
      </c>
      <c r="C35" s="24">
        <v>3.8894736842105258</v>
      </c>
      <c r="D35" s="24">
        <v>0.64</v>
      </c>
      <c r="E35" s="24">
        <v>12.684210526315789</v>
      </c>
    </row>
    <row r="36" spans="1:5" x14ac:dyDescent="0.3">
      <c r="A36" s="21" t="s">
        <v>96</v>
      </c>
      <c r="B36" s="24">
        <v>1</v>
      </c>
      <c r="C36" s="24">
        <v>3.8894736842105258</v>
      </c>
      <c r="D36" s="24">
        <v>0.47</v>
      </c>
      <c r="E36" s="24">
        <v>12.684210526315789</v>
      </c>
    </row>
    <row r="37" spans="1:5" x14ac:dyDescent="0.3">
      <c r="A37" s="21" t="s">
        <v>51</v>
      </c>
      <c r="B37" s="24">
        <v>1</v>
      </c>
      <c r="C37" s="24">
        <v>3.8894736842105258</v>
      </c>
      <c r="D37" s="24">
        <v>0.33</v>
      </c>
      <c r="E37" s="24">
        <v>12.684210526315789</v>
      </c>
    </row>
    <row r="38" spans="1:5" x14ac:dyDescent="0.3">
      <c r="A38" s="21" t="s">
        <v>82</v>
      </c>
      <c r="B38" s="24">
        <v>1</v>
      </c>
      <c r="C38" s="24">
        <v>3.8894736842105258</v>
      </c>
      <c r="D38" s="24">
        <v>0.49</v>
      </c>
      <c r="E38" s="24">
        <v>12.684210526315789</v>
      </c>
    </row>
    <row r="39" spans="1:5" x14ac:dyDescent="0.3">
      <c r="A39" s="21" t="s">
        <v>77</v>
      </c>
      <c r="B39" s="24">
        <v>1</v>
      </c>
      <c r="C39" s="24">
        <v>2.2000000000000002</v>
      </c>
      <c r="D39" s="24">
        <v>0.47</v>
      </c>
      <c r="E39" s="24">
        <v>6</v>
      </c>
    </row>
    <row r="40" spans="1:5" x14ac:dyDescent="0.3">
      <c r="A40" s="21" t="s">
        <v>103</v>
      </c>
      <c r="B40" s="24">
        <v>1</v>
      </c>
      <c r="C40" s="24">
        <v>3.8894736842105258</v>
      </c>
      <c r="D40" s="24">
        <v>0.42</v>
      </c>
      <c r="E40" s="24">
        <v>12.684210526315789</v>
      </c>
    </row>
    <row r="41" spans="1:5" x14ac:dyDescent="0.3">
      <c r="A41" s="21" t="s">
        <v>105</v>
      </c>
      <c r="B41" s="24">
        <v>1</v>
      </c>
      <c r="C41" s="24">
        <v>3.8894736842105258</v>
      </c>
      <c r="D41" s="24">
        <v>0.41</v>
      </c>
      <c r="E41" s="24">
        <v>12.684210526315789</v>
      </c>
    </row>
    <row r="42" spans="1:5" x14ac:dyDescent="0.3">
      <c r="A42" s="21" t="s">
        <v>73</v>
      </c>
      <c r="B42" s="24">
        <v>1</v>
      </c>
      <c r="C42" s="24">
        <v>2.6</v>
      </c>
      <c r="D42" s="24">
        <v>0.45</v>
      </c>
      <c r="E42" s="24">
        <v>17</v>
      </c>
    </row>
    <row r="43" spans="1:5" x14ac:dyDescent="0.3">
      <c r="A43" s="21" t="s">
        <v>62</v>
      </c>
      <c r="B43" s="24">
        <v>1</v>
      </c>
      <c r="C43" s="24">
        <v>3.8894736842105258</v>
      </c>
      <c r="D43" s="24">
        <v>0.49</v>
      </c>
      <c r="E43" s="24">
        <v>12.684210526315789</v>
      </c>
    </row>
    <row r="44" spans="1:5" x14ac:dyDescent="0.3">
      <c r="A44" s="21" t="s">
        <v>21</v>
      </c>
      <c r="B44" s="24">
        <v>1</v>
      </c>
      <c r="C44" s="24">
        <v>5</v>
      </c>
      <c r="D44" s="24">
        <v>0.51</v>
      </c>
      <c r="E44" s="24">
        <v>2</v>
      </c>
    </row>
    <row r="45" spans="1:5" x14ac:dyDescent="0.3">
      <c r="A45" s="21" t="s">
        <v>70</v>
      </c>
      <c r="B45" s="24">
        <v>1</v>
      </c>
      <c r="C45" s="24">
        <v>2.2000000000000002</v>
      </c>
      <c r="D45" s="24">
        <v>0.45</v>
      </c>
      <c r="E45" s="24">
        <v>6</v>
      </c>
    </row>
    <row r="46" spans="1:5" x14ac:dyDescent="0.3">
      <c r="A46" s="21" t="s">
        <v>102</v>
      </c>
      <c r="B46" s="24">
        <v>1</v>
      </c>
      <c r="C46" s="24">
        <v>3.8894736842105258</v>
      </c>
      <c r="D46" s="24">
        <v>0.49</v>
      </c>
      <c r="E46" s="24">
        <v>12.684210526315789</v>
      </c>
    </row>
    <row r="47" spans="1:5" x14ac:dyDescent="0.3">
      <c r="A47" s="21" t="s">
        <v>48</v>
      </c>
      <c r="B47" s="24">
        <v>1</v>
      </c>
      <c r="C47" s="24">
        <v>3.8894736842105258</v>
      </c>
      <c r="D47" s="24">
        <v>0.42</v>
      </c>
      <c r="E47" s="24">
        <v>12.684210526315789</v>
      </c>
    </row>
    <row r="48" spans="1:5" x14ac:dyDescent="0.3">
      <c r="A48" s="21" t="s">
        <v>84</v>
      </c>
      <c r="B48" s="24">
        <v>1</v>
      </c>
      <c r="C48" s="24">
        <v>5</v>
      </c>
      <c r="D48" s="24">
        <v>0.49</v>
      </c>
      <c r="E48" s="24">
        <v>1</v>
      </c>
    </row>
    <row r="49" spans="1:5" x14ac:dyDescent="0.3">
      <c r="A49" s="21" t="s">
        <v>114</v>
      </c>
      <c r="B49" s="24">
        <v>1</v>
      </c>
      <c r="C49" s="24">
        <v>3.8894736842105258</v>
      </c>
      <c r="D49" s="24">
        <v>0.47</v>
      </c>
      <c r="E49" s="24">
        <v>12.684210526315789</v>
      </c>
    </row>
    <row r="50" spans="1:5" x14ac:dyDescent="0.3">
      <c r="A50" s="21" t="s">
        <v>55</v>
      </c>
      <c r="B50" s="24">
        <v>1</v>
      </c>
      <c r="C50" s="24">
        <v>3.8894736842105258</v>
      </c>
      <c r="D50" s="24">
        <v>0.5</v>
      </c>
      <c r="E50" s="24">
        <v>12.684210526315789</v>
      </c>
    </row>
    <row r="51" spans="1:5" x14ac:dyDescent="0.3">
      <c r="A51" s="21" t="s">
        <v>52</v>
      </c>
      <c r="B51" s="24">
        <v>1</v>
      </c>
      <c r="C51" s="24">
        <v>3.8894736842105258</v>
      </c>
      <c r="D51" s="24">
        <v>0.49</v>
      </c>
      <c r="E51" s="24">
        <v>12.684210526315789</v>
      </c>
    </row>
    <row r="52" spans="1:5" x14ac:dyDescent="0.3">
      <c r="A52" s="21" t="s">
        <v>89</v>
      </c>
      <c r="B52" s="24">
        <v>1</v>
      </c>
      <c r="C52" s="24">
        <v>3.8894736842105258</v>
      </c>
      <c r="D52" s="24">
        <v>0.49</v>
      </c>
      <c r="E52" s="24">
        <v>12.684210526315789</v>
      </c>
    </row>
    <row r="53" spans="1:5" x14ac:dyDescent="0.3">
      <c r="A53" s="21" t="s">
        <v>109</v>
      </c>
      <c r="B53" s="24">
        <v>1</v>
      </c>
      <c r="C53" s="24">
        <v>3.8894736842105258</v>
      </c>
      <c r="D53" s="24">
        <v>0.34</v>
      </c>
      <c r="E53" s="24">
        <v>12.684210526315789</v>
      </c>
    </row>
    <row r="54" spans="1:5" x14ac:dyDescent="0.3">
      <c r="A54" s="21" t="s">
        <v>50</v>
      </c>
      <c r="B54" s="24">
        <v>1</v>
      </c>
      <c r="C54" s="24">
        <v>3.8894736842105258</v>
      </c>
      <c r="D54" s="24">
        <v>0.5</v>
      </c>
      <c r="E54" s="24">
        <v>12.684210526315789</v>
      </c>
    </row>
    <row r="55" spans="1:5" x14ac:dyDescent="0.3">
      <c r="A55" s="21" t="s">
        <v>61</v>
      </c>
      <c r="B55" s="24">
        <v>1</v>
      </c>
      <c r="C55" s="24">
        <v>3.8894736842105258</v>
      </c>
      <c r="D55" s="24">
        <v>0.48</v>
      </c>
      <c r="E55" s="24">
        <v>12.684210526315789</v>
      </c>
    </row>
    <row r="56" spans="1:5" x14ac:dyDescent="0.3">
      <c r="A56" s="21" t="s">
        <v>42</v>
      </c>
      <c r="B56" s="24">
        <v>1</v>
      </c>
      <c r="C56" s="24">
        <v>5</v>
      </c>
      <c r="D56" s="24">
        <v>0.53</v>
      </c>
      <c r="E56" s="24">
        <v>2</v>
      </c>
    </row>
    <row r="57" spans="1:5" x14ac:dyDescent="0.3">
      <c r="A57" s="21" t="s">
        <v>54</v>
      </c>
      <c r="B57" s="24">
        <v>1</v>
      </c>
      <c r="C57" s="24">
        <v>3.8894736842105258</v>
      </c>
      <c r="D57" s="24">
        <v>0.61</v>
      </c>
      <c r="E57" s="24">
        <v>12.684210526315789</v>
      </c>
    </row>
    <row r="58" spans="1:5" x14ac:dyDescent="0.3">
      <c r="A58" s="21" t="s">
        <v>81</v>
      </c>
      <c r="B58" s="24">
        <v>1</v>
      </c>
      <c r="C58" s="24">
        <v>3.8894736842105258</v>
      </c>
      <c r="D58" s="24">
        <v>0.04</v>
      </c>
      <c r="E58" s="24">
        <v>12.684210526315789</v>
      </c>
    </row>
    <row r="59" spans="1:5" x14ac:dyDescent="0.3">
      <c r="A59" s="21" t="s">
        <v>59</v>
      </c>
      <c r="B59" s="24">
        <v>1</v>
      </c>
      <c r="C59" s="24">
        <v>3.8894736842105258</v>
      </c>
      <c r="D59" s="24">
        <v>0.41</v>
      </c>
      <c r="E59" s="24">
        <v>12.684210526315789</v>
      </c>
    </row>
    <row r="60" spans="1:5" x14ac:dyDescent="0.3">
      <c r="A60" s="21" t="s">
        <v>13</v>
      </c>
      <c r="B60" s="24">
        <v>1</v>
      </c>
      <c r="C60" s="24">
        <v>4</v>
      </c>
      <c r="D60" s="24">
        <v>0.37</v>
      </c>
      <c r="E60" s="24">
        <v>2</v>
      </c>
    </row>
    <row r="61" spans="1:5" x14ac:dyDescent="0.3">
      <c r="A61" s="21" t="s">
        <v>41</v>
      </c>
      <c r="B61" s="24">
        <v>1</v>
      </c>
      <c r="C61" s="24">
        <v>5</v>
      </c>
      <c r="D61" s="24">
        <v>0.4</v>
      </c>
      <c r="E61" s="24">
        <v>1</v>
      </c>
    </row>
    <row r="62" spans="1:5" x14ac:dyDescent="0.3">
      <c r="A62" s="21" t="s">
        <v>78</v>
      </c>
      <c r="B62" s="24">
        <v>1</v>
      </c>
      <c r="C62" s="24">
        <v>2.1</v>
      </c>
      <c r="D62" s="24">
        <v>0.47</v>
      </c>
      <c r="E62" s="24">
        <v>7</v>
      </c>
    </row>
    <row r="63" spans="1:5" x14ac:dyDescent="0.3">
      <c r="A63" s="21" t="s">
        <v>31</v>
      </c>
      <c r="B63" s="24">
        <v>1</v>
      </c>
      <c r="C63" s="24">
        <v>4.5999999999999996</v>
      </c>
      <c r="D63" s="24">
        <v>0.35</v>
      </c>
      <c r="E63" s="24">
        <v>49</v>
      </c>
    </row>
    <row r="64" spans="1:5" x14ac:dyDescent="0.3">
      <c r="A64" s="21" t="s">
        <v>36</v>
      </c>
      <c r="B64" s="24">
        <v>1</v>
      </c>
      <c r="C64" s="24">
        <v>4.3</v>
      </c>
      <c r="D64" s="24">
        <v>0.52</v>
      </c>
      <c r="E64" s="24">
        <v>9</v>
      </c>
    </row>
    <row r="65" spans="1:5" x14ac:dyDescent="0.3">
      <c r="A65" s="21" t="s">
        <v>29</v>
      </c>
      <c r="B65" s="24">
        <v>1</v>
      </c>
      <c r="C65" s="24">
        <v>4.4000000000000004</v>
      </c>
      <c r="D65" s="24">
        <v>0.23</v>
      </c>
      <c r="E65" s="24">
        <v>14</v>
      </c>
    </row>
    <row r="66" spans="1:5" x14ac:dyDescent="0.3">
      <c r="A66" s="21" t="s">
        <v>16</v>
      </c>
      <c r="B66" s="24">
        <v>1</v>
      </c>
      <c r="C66" s="24">
        <v>4.0999999999999996</v>
      </c>
      <c r="D66" s="24">
        <v>0.2</v>
      </c>
      <c r="E66" s="24">
        <v>12</v>
      </c>
    </row>
    <row r="67" spans="1:5" x14ac:dyDescent="0.3">
      <c r="A67" s="21" t="s">
        <v>87</v>
      </c>
      <c r="B67" s="24">
        <v>1</v>
      </c>
      <c r="C67" s="24">
        <v>4</v>
      </c>
      <c r="D67" s="24">
        <v>0.49</v>
      </c>
      <c r="E67" s="24">
        <v>1</v>
      </c>
    </row>
    <row r="68" spans="1:5" x14ac:dyDescent="0.3">
      <c r="A68" s="21" t="s">
        <v>68</v>
      </c>
      <c r="B68" s="24">
        <v>1</v>
      </c>
      <c r="C68" s="24">
        <v>2.7</v>
      </c>
      <c r="D68" s="24">
        <v>0.52</v>
      </c>
      <c r="E68" s="24">
        <v>15</v>
      </c>
    </row>
    <row r="69" spans="1:5" x14ac:dyDescent="0.3">
      <c r="A69" s="21" t="s">
        <v>104</v>
      </c>
      <c r="B69" s="24">
        <v>1</v>
      </c>
      <c r="C69" s="24">
        <v>5</v>
      </c>
      <c r="D69" s="24">
        <v>0.21</v>
      </c>
      <c r="E69" s="24">
        <v>1</v>
      </c>
    </row>
    <row r="70" spans="1:5" x14ac:dyDescent="0.3">
      <c r="A70" s="21" t="s">
        <v>74</v>
      </c>
      <c r="B70" s="24">
        <v>1</v>
      </c>
      <c r="C70" s="24">
        <v>3</v>
      </c>
      <c r="D70" s="24">
        <v>0.28999999999999998</v>
      </c>
      <c r="E70" s="24">
        <v>5</v>
      </c>
    </row>
    <row r="71" spans="1:5" x14ac:dyDescent="0.3">
      <c r="A71" s="21" t="s">
        <v>30</v>
      </c>
      <c r="B71" s="24">
        <v>1</v>
      </c>
      <c r="C71" s="24">
        <v>4.3</v>
      </c>
      <c r="D71" s="24">
        <v>0.54</v>
      </c>
      <c r="E71" s="24">
        <v>7</v>
      </c>
    </row>
    <row r="72" spans="1:5" x14ac:dyDescent="0.3">
      <c r="A72" s="21" t="s">
        <v>23</v>
      </c>
      <c r="B72" s="24">
        <v>1</v>
      </c>
      <c r="C72" s="24">
        <v>5</v>
      </c>
      <c r="D72" s="24">
        <v>0.49</v>
      </c>
      <c r="E72" s="24">
        <v>3</v>
      </c>
    </row>
    <row r="73" spans="1:5" x14ac:dyDescent="0.3">
      <c r="A73" s="21" t="s">
        <v>19</v>
      </c>
      <c r="B73" s="24">
        <v>1</v>
      </c>
      <c r="C73" s="24">
        <v>4.5</v>
      </c>
      <c r="D73" s="24">
        <v>0.42</v>
      </c>
      <c r="E73" s="24">
        <v>6</v>
      </c>
    </row>
    <row r="74" spans="1:5" x14ac:dyDescent="0.3">
      <c r="A74" s="21" t="s">
        <v>14</v>
      </c>
      <c r="B74" s="24">
        <v>1</v>
      </c>
      <c r="C74" s="24">
        <v>4.8</v>
      </c>
      <c r="D74" s="24">
        <v>0.55000000000000004</v>
      </c>
      <c r="E74" s="24">
        <v>5</v>
      </c>
    </row>
    <row r="75" spans="1:5" x14ac:dyDescent="0.3">
      <c r="A75" s="21" t="s">
        <v>45</v>
      </c>
      <c r="B75" s="24">
        <v>1</v>
      </c>
      <c r="C75" s="24">
        <v>3.8894736842105258</v>
      </c>
      <c r="D75" s="24">
        <v>0.38</v>
      </c>
      <c r="E75" s="24">
        <v>12.684210526315789</v>
      </c>
    </row>
    <row r="76" spans="1:5" x14ac:dyDescent="0.3">
      <c r="A76" s="21" t="s">
        <v>38</v>
      </c>
      <c r="B76" s="24">
        <v>1</v>
      </c>
      <c r="C76" s="24">
        <v>4.3</v>
      </c>
      <c r="D76" s="24">
        <v>0.48</v>
      </c>
      <c r="E76" s="24">
        <v>9</v>
      </c>
    </row>
    <row r="77" spans="1:5" x14ac:dyDescent="0.3">
      <c r="A77" s="21" t="s">
        <v>28</v>
      </c>
      <c r="B77" s="24">
        <v>1</v>
      </c>
      <c r="C77" s="24">
        <v>4</v>
      </c>
      <c r="D77" s="24">
        <v>0.35</v>
      </c>
      <c r="E77" s="24">
        <v>6</v>
      </c>
    </row>
    <row r="78" spans="1:5" x14ac:dyDescent="0.3">
      <c r="A78" s="21" t="s">
        <v>108</v>
      </c>
      <c r="B78" s="24">
        <v>1</v>
      </c>
      <c r="C78" s="24">
        <v>3.8894736842105258</v>
      </c>
      <c r="D78" s="24">
        <v>0.34</v>
      </c>
      <c r="E78" s="24">
        <v>12.684210526315789</v>
      </c>
    </row>
    <row r="79" spans="1:5" x14ac:dyDescent="0.3">
      <c r="A79" s="21" t="s">
        <v>24</v>
      </c>
      <c r="B79" s="24">
        <v>1</v>
      </c>
      <c r="C79" s="24">
        <v>4.5999999999999996</v>
      </c>
      <c r="D79" s="24">
        <v>0.19</v>
      </c>
      <c r="E79" s="24">
        <v>5</v>
      </c>
    </row>
    <row r="80" spans="1:5" x14ac:dyDescent="0.3">
      <c r="A80" s="21" t="s">
        <v>83</v>
      </c>
      <c r="B80" s="24">
        <v>1</v>
      </c>
      <c r="C80" s="24">
        <v>3</v>
      </c>
      <c r="D80" s="24">
        <v>0.46</v>
      </c>
      <c r="E80" s="24">
        <v>1</v>
      </c>
    </row>
    <row r="81" spans="1:5" x14ac:dyDescent="0.3">
      <c r="A81" s="21" t="s">
        <v>7</v>
      </c>
      <c r="B81" s="24">
        <v>1</v>
      </c>
      <c r="C81" s="24">
        <v>4.0999999999999996</v>
      </c>
      <c r="D81" s="24">
        <v>0.47</v>
      </c>
      <c r="E81" s="24">
        <v>14</v>
      </c>
    </row>
    <row r="82" spans="1:5" x14ac:dyDescent="0.3">
      <c r="A82" s="21" t="s">
        <v>101</v>
      </c>
      <c r="B82" s="24">
        <v>1</v>
      </c>
      <c r="C82" s="24">
        <v>3.8894736842105258</v>
      </c>
      <c r="D82" s="24">
        <v>0.04</v>
      </c>
      <c r="E82" s="24">
        <v>12.684210526315789</v>
      </c>
    </row>
    <row r="83" spans="1:5" x14ac:dyDescent="0.3">
      <c r="A83" s="21" t="s">
        <v>47</v>
      </c>
      <c r="B83" s="24">
        <v>1</v>
      </c>
      <c r="C83" s="24">
        <v>3.8894736842105258</v>
      </c>
      <c r="D83" s="24">
        <v>0.5</v>
      </c>
      <c r="E83" s="24">
        <v>12.684210526315789</v>
      </c>
    </row>
    <row r="84" spans="1:5" x14ac:dyDescent="0.3">
      <c r="A84" s="21" t="s">
        <v>20</v>
      </c>
      <c r="B84" s="24">
        <v>1</v>
      </c>
      <c r="C84" s="24">
        <v>4.2</v>
      </c>
      <c r="D84" s="24">
        <v>0.33</v>
      </c>
      <c r="E84" s="24">
        <v>9</v>
      </c>
    </row>
    <row r="85" spans="1:5" x14ac:dyDescent="0.3">
      <c r="A85" s="21" t="s">
        <v>92</v>
      </c>
      <c r="B85" s="24">
        <v>1</v>
      </c>
      <c r="C85" s="24">
        <v>3.8894736842105258</v>
      </c>
      <c r="D85" s="24">
        <v>0.43</v>
      </c>
      <c r="E85" s="24">
        <v>12.684210526315789</v>
      </c>
    </row>
    <row r="86" spans="1:5" x14ac:dyDescent="0.3">
      <c r="A86" s="21" t="s">
        <v>35</v>
      </c>
      <c r="B86" s="24">
        <v>1</v>
      </c>
      <c r="C86" s="24">
        <v>3.8894736842105258</v>
      </c>
      <c r="D86" s="24">
        <v>0.46</v>
      </c>
      <c r="E86" s="24">
        <v>12.684210526315789</v>
      </c>
    </row>
    <row r="87" spans="1:5" x14ac:dyDescent="0.3">
      <c r="A87" s="21" t="s">
        <v>58</v>
      </c>
      <c r="B87" s="24">
        <v>1</v>
      </c>
      <c r="C87" s="24">
        <v>3.8894736842105258</v>
      </c>
      <c r="D87" s="24">
        <v>0.03</v>
      </c>
      <c r="E87" s="24">
        <v>12.684210526315789</v>
      </c>
    </row>
    <row r="88" spans="1:5" x14ac:dyDescent="0.3">
      <c r="A88" s="21" t="s">
        <v>65</v>
      </c>
      <c r="B88" s="24">
        <v>1</v>
      </c>
      <c r="C88" s="24">
        <v>3</v>
      </c>
      <c r="D88" s="24">
        <v>0.54</v>
      </c>
      <c r="E88" s="24">
        <v>10</v>
      </c>
    </row>
    <row r="89" spans="1:5" x14ac:dyDescent="0.3">
      <c r="A89" s="21" t="s">
        <v>88</v>
      </c>
      <c r="B89" s="24">
        <v>1</v>
      </c>
      <c r="C89" s="24">
        <v>3.8894736842105258</v>
      </c>
      <c r="D89" s="24">
        <v>0.14000000000000001</v>
      </c>
      <c r="E89" s="24">
        <v>12.684210526315789</v>
      </c>
    </row>
    <row r="90" spans="1:5" x14ac:dyDescent="0.3">
      <c r="A90" s="21" t="s">
        <v>90</v>
      </c>
      <c r="B90" s="24">
        <v>1</v>
      </c>
      <c r="C90" s="24">
        <v>3.8894736842105258</v>
      </c>
      <c r="D90" s="24">
        <v>0.11</v>
      </c>
      <c r="E90" s="24">
        <v>12.684210526315789</v>
      </c>
    </row>
    <row r="91" spans="1:5" x14ac:dyDescent="0.3">
      <c r="A91" s="21" t="s">
        <v>22</v>
      </c>
      <c r="B91" s="24">
        <v>1</v>
      </c>
      <c r="C91" s="24">
        <v>5</v>
      </c>
      <c r="D91" s="24">
        <v>0.46</v>
      </c>
      <c r="E91" s="24">
        <v>2</v>
      </c>
    </row>
    <row r="92" spans="1:5" x14ac:dyDescent="0.3">
      <c r="A92" s="21" t="s">
        <v>56</v>
      </c>
      <c r="B92" s="24">
        <v>1</v>
      </c>
      <c r="C92" s="24">
        <v>3.8894736842105258</v>
      </c>
      <c r="D92" s="24">
        <v>0.02</v>
      </c>
      <c r="E92" s="24">
        <v>12.684210526315789</v>
      </c>
    </row>
    <row r="93" spans="1:5" x14ac:dyDescent="0.3">
      <c r="A93" s="21" t="s">
        <v>57</v>
      </c>
      <c r="B93" s="24">
        <v>1</v>
      </c>
      <c r="C93" s="24">
        <v>3.8894736842105258</v>
      </c>
      <c r="D93" s="24">
        <v>0.22</v>
      </c>
      <c r="E93" s="24">
        <v>12.684210526315789</v>
      </c>
    </row>
    <row r="94" spans="1:5" x14ac:dyDescent="0.3">
      <c r="A94" s="21" t="s">
        <v>10</v>
      </c>
      <c r="B94" s="24">
        <v>1</v>
      </c>
      <c r="C94" s="24">
        <v>4.8</v>
      </c>
      <c r="D94" s="24">
        <v>0.26</v>
      </c>
      <c r="E94" s="24">
        <v>5</v>
      </c>
    </row>
    <row r="95" spans="1:5" x14ac:dyDescent="0.3">
      <c r="A95" s="21" t="s">
        <v>8</v>
      </c>
      <c r="B95" s="24">
        <v>1</v>
      </c>
      <c r="C95" s="24">
        <v>4.5999999999999996</v>
      </c>
      <c r="D95" s="24">
        <v>0.25</v>
      </c>
      <c r="E95" s="24">
        <v>24</v>
      </c>
    </row>
    <row r="96" spans="1:5" x14ac:dyDescent="0.3">
      <c r="A96" s="21" t="s">
        <v>99</v>
      </c>
      <c r="B96" s="24">
        <v>1</v>
      </c>
      <c r="C96" s="24">
        <v>3.8894736842105258</v>
      </c>
      <c r="D96" s="24">
        <v>0.02</v>
      </c>
      <c r="E96" s="24">
        <v>12.684210526315789</v>
      </c>
    </row>
    <row r="97" spans="1:5" x14ac:dyDescent="0.3">
      <c r="A97" s="21" t="s">
        <v>32</v>
      </c>
      <c r="B97" s="24">
        <v>1</v>
      </c>
      <c r="C97" s="24">
        <v>3.8</v>
      </c>
      <c r="D97" s="24">
        <v>0.18</v>
      </c>
      <c r="E97" s="24">
        <v>12</v>
      </c>
    </row>
    <row r="98" spans="1:5" x14ac:dyDescent="0.3">
      <c r="A98" s="21" t="s">
        <v>94</v>
      </c>
      <c r="B98" s="24">
        <v>1</v>
      </c>
      <c r="C98" s="24">
        <v>3.8894736842105258</v>
      </c>
      <c r="D98" s="24">
        <v>0.48</v>
      </c>
      <c r="E98" s="24">
        <v>12.684210526315789</v>
      </c>
    </row>
    <row r="99" spans="1:5" x14ac:dyDescent="0.3">
      <c r="A99" s="21" t="s">
        <v>43</v>
      </c>
      <c r="B99" s="24">
        <v>1</v>
      </c>
      <c r="C99" s="24">
        <v>4.3</v>
      </c>
      <c r="D99" s="24">
        <v>0.41</v>
      </c>
      <c r="E99" s="24">
        <v>36</v>
      </c>
    </row>
    <row r="100" spans="1:5" x14ac:dyDescent="0.3">
      <c r="A100" s="21" t="s">
        <v>95</v>
      </c>
      <c r="B100" s="24">
        <v>1</v>
      </c>
      <c r="C100" s="24">
        <v>3.8894736842105258</v>
      </c>
      <c r="D100" s="24">
        <v>0.48</v>
      </c>
      <c r="E100" s="24">
        <v>12.684210526315789</v>
      </c>
    </row>
    <row r="101" spans="1:5" x14ac:dyDescent="0.3">
      <c r="A101" s="21" t="s">
        <v>49</v>
      </c>
      <c r="B101" s="24">
        <v>1</v>
      </c>
      <c r="C101" s="24">
        <v>3.8894736842105258</v>
      </c>
      <c r="D101" s="24">
        <v>0.02</v>
      </c>
      <c r="E101" s="24">
        <v>12.684210526315789</v>
      </c>
    </row>
    <row r="102" spans="1:5" x14ac:dyDescent="0.3">
      <c r="A102" s="21" t="s">
        <v>110</v>
      </c>
      <c r="B102" s="24">
        <v>1</v>
      </c>
      <c r="C102" s="24">
        <v>3.8894736842105258</v>
      </c>
      <c r="D102" s="24">
        <v>0.02</v>
      </c>
      <c r="E102" s="24">
        <v>12.684210526315789</v>
      </c>
    </row>
    <row r="103" spans="1:5" x14ac:dyDescent="0.3">
      <c r="A103" s="21" t="s">
        <v>60</v>
      </c>
      <c r="B103" s="24">
        <v>1</v>
      </c>
      <c r="C103" s="24">
        <v>3.8894736842105258</v>
      </c>
      <c r="D103" s="24">
        <v>0.55000000000000004</v>
      </c>
      <c r="E103" s="24">
        <v>12.684210526315789</v>
      </c>
    </row>
    <row r="104" spans="1:5" x14ac:dyDescent="0.3">
      <c r="A104" s="21" t="s">
        <v>111</v>
      </c>
      <c r="B104" s="24">
        <v>1</v>
      </c>
      <c r="C104" s="24">
        <v>3.8894736842105258</v>
      </c>
      <c r="D104" s="24">
        <v>0.02</v>
      </c>
      <c r="E104" s="24">
        <v>12.684210526315789</v>
      </c>
    </row>
    <row r="105" spans="1:5" x14ac:dyDescent="0.3">
      <c r="A105" s="21" t="s">
        <v>69</v>
      </c>
      <c r="B105" s="24">
        <v>1</v>
      </c>
      <c r="C105" s="24">
        <v>2.9</v>
      </c>
      <c r="D105" s="24">
        <v>0.22</v>
      </c>
      <c r="E105" s="24">
        <v>16</v>
      </c>
    </row>
    <row r="106" spans="1:5" x14ac:dyDescent="0.3">
      <c r="A106" s="21" t="s">
        <v>93</v>
      </c>
      <c r="B106" s="24">
        <v>1</v>
      </c>
      <c r="C106" s="24">
        <v>3.8894736842105258</v>
      </c>
      <c r="D106" s="24">
        <v>0.5</v>
      </c>
      <c r="E106" s="24">
        <v>12.684210526315789</v>
      </c>
    </row>
    <row r="107" spans="1:5" x14ac:dyDescent="0.3">
      <c r="A107" s="21" t="s">
        <v>98</v>
      </c>
      <c r="B107" s="24">
        <v>1</v>
      </c>
      <c r="C107" s="24">
        <v>3.8894736842105258</v>
      </c>
      <c r="D107" s="24">
        <v>0.08</v>
      </c>
      <c r="E107" s="24">
        <v>12.684210526315789</v>
      </c>
    </row>
    <row r="108" spans="1:5" x14ac:dyDescent="0.3">
      <c r="A108" s="21" t="s">
        <v>113</v>
      </c>
      <c r="B108" s="24">
        <v>1</v>
      </c>
      <c r="C108" s="24">
        <v>2</v>
      </c>
      <c r="D108" s="24">
        <v>0.5</v>
      </c>
      <c r="E108" s="24">
        <v>1</v>
      </c>
    </row>
    <row r="109" spans="1:5" x14ac:dyDescent="0.3">
      <c r="A109" s="21" t="s">
        <v>91</v>
      </c>
      <c r="B109" s="24">
        <v>1</v>
      </c>
      <c r="C109" s="24">
        <v>3.8894736842105258</v>
      </c>
      <c r="D109" s="24">
        <v>0.14000000000000001</v>
      </c>
      <c r="E109" s="24">
        <v>12.684210526315789</v>
      </c>
    </row>
    <row r="110" spans="1:5" x14ac:dyDescent="0.3">
      <c r="A110" s="21" t="s">
        <v>75</v>
      </c>
      <c r="B110" s="24">
        <v>1</v>
      </c>
      <c r="C110" s="24">
        <v>2.2999999999999998</v>
      </c>
      <c r="D110" s="24">
        <v>0.43</v>
      </c>
      <c r="E110" s="24">
        <v>6</v>
      </c>
    </row>
    <row r="111" spans="1:5" x14ac:dyDescent="0.3">
      <c r="A111" s="21" t="s">
        <v>9</v>
      </c>
      <c r="B111" s="24">
        <v>1</v>
      </c>
      <c r="C111" s="24">
        <v>4.7</v>
      </c>
      <c r="D111" s="24">
        <v>0.37</v>
      </c>
      <c r="E111" s="24">
        <v>7</v>
      </c>
    </row>
    <row r="112" spans="1:5" x14ac:dyDescent="0.3">
      <c r="A112" s="21" t="s">
        <v>76</v>
      </c>
      <c r="B112" s="24">
        <v>1</v>
      </c>
      <c r="C112" s="24">
        <v>3</v>
      </c>
      <c r="D112" s="24">
        <v>0.43</v>
      </c>
      <c r="E112" s="24">
        <v>5</v>
      </c>
    </row>
    <row r="113" spans="1:5" x14ac:dyDescent="0.3">
      <c r="A113" s="21" t="s">
        <v>136</v>
      </c>
      <c r="B113" s="24">
        <v>109</v>
      </c>
      <c r="C113" s="24">
        <v>3.8894736842105284</v>
      </c>
      <c r="D113" s="24">
        <v>0.3647706422018348</v>
      </c>
      <c r="E113" s="24">
        <v>1382.5789473684229</v>
      </c>
    </row>
    <row r="114" spans="1:5" x14ac:dyDescent="0.3">
      <c r="C114" s="2">
        <f>GETPIVOTDATA("Average of Rating",$A$3)</f>
        <v>3.8894736842105284</v>
      </c>
      <c r="D114" s="6">
        <f>GETPIVOTDATA("Average of Discount",$A$3)</f>
        <v>0.3647706422018348</v>
      </c>
      <c r="E114" s="26">
        <f>GETPIVOTDATA("Sum of Review",$A$3)</f>
        <v>1382.5789473684229</v>
      </c>
    </row>
    <row r="120" spans="1:5" x14ac:dyDescent="0.3">
      <c r="B120" s="5">
        <f>GETPIVOTDATA("Count of Product",$A$3)</f>
        <v>109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3"/>
  <sheetViews>
    <sheetView topLeftCell="A29" workbookViewId="0">
      <selection activeCell="A31" sqref="A4:A112"/>
      <pivotSelection pane="bottomRight" showHeader="1" axis="axisRow" activeRow="30" previousRow="30" click="1" r:id="rId1">
        <pivotArea dataOnly="0" labelOnly="1" fieldPosition="0">
          <references count="1">
            <reference field="0" count="0"/>
          </references>
        </pivotArea>
      </pivotSelection>
    </sheetView>
  </sheetViews>
  <sheetFormatPr defaultRowHeight="14.4" x14ac:dyDescent="0.3"/>
  <cols>
    <col min="1" max="1" width="87.88671875" bestFit="1" customWidth="1"/>
    <col min="2" max="2" width="14.21875" style="5" bestFit="1" customWidth="1"/>
  </cols>
  <sheetData>
    <row r="3" spans="1:2" x14ac:dyDescent="0.3">
      <c r="A3" s="20" t="s">
        <v>132</v>
      </c>
      <c r="B3" s="24" t="s">
        <v>139</v>
      </c>
    </row>
    <row r="4" spans="1:2" x14ac:dyDescent="0.3">
      <c r="A4" s="21" t="s">
        <v>41</v>
      </c>
      <c r="B4" s="24">
        <v>5</v>
      </c>
    </row>
    <row r="5" spans="1:2" x14ac:dyDescent="0.3">
      <c r="A5" s="21" t="s">
        <v>23</v>
      </c>
      <c r="B5" s="24">
        <v>5</v>
      </c>
    </row>
    <row r="6" spans="1:2" x14ac:dyDescent="0.3">
      <c r="A6" s="21" t="s">
        <v>104</v>
      </c>
      <c r="B6" s="24">
        <v>5</v>
      </c>
    </row>
    <row r="7" spans="1:2" x14ac:dyDescent="0.3">
      <c r="A7" s="21" t="s">
        <v>21</v>
      </c>
      <c r="B7" s="24">
        <v>5</v>
      </c>
    </row>
    <row r="8" spans="1:2" x14ac:dyDescent="0.3">
      <c r="A8" s="21" t="s">
        <v>22</v>
      </c>
      <c r="B8" s="24">
        <v>5</v>
      </c>
    </row>
    <row r="9" spans="1:2" x14ac:dyDescent="0.3">
      <c r="A9" s="21" t="s">
        <v>42</v>
      </c>
      <c r="B9" s="24">
        <v>5</v>
      </c>
    </row>
    <row r="10" spans="1:2" x14ac:dyDescent="0.3">
      <c r="A10" s="21" t="s">
        <v>84</v>
      </c>
      <c r="B10" s="24">
        <v>5</v>
      </c>
    </row>
    <row r="11" spans="1:2" x14ac:dyDescent="0.3">
      <c r="A11" s="21" t="s">
        <v>14</v>
      </c>
      <c r="B11" s="24">
        <v>4.8</v>
      </c>
    </row>
    <row r="12" spans="1:2" x14ac:dyDescent="0.3">
      <c r="A12" s="21" t="s">
        <v>10</v>
      </c>
      <c r="B12" s="24">
        <v>4.8</v>
      </c>
    </row>
    <row r="13" spans="1:2" x14ac:dyDescent="0.3">
      <c r="A13" s="21" t="s">
        <v>18</v>
      </c>
      <c r="B13" s="24">
        <v>4.8</v>
      </c>
    </row>
    <row r="14" spans="1:2" x14ac:dyDescent="0.3">
      <c r="A14" s="21" t="s">
        <v>39</v>
      </c>
      <c r="B14" s="24">
        <v>4.7</v>
      </c>
    </row>
    <row r="15" spans="1:2" x14ac:dyDescent="0.3">
      <c r="A15" s="21" t="s">
        <v>9</v>
      </c>
      <c r="B15" s="24">
        <v>4.7</v>
      </c>
    </row>
    <row r="16" spans="1:2" x14ac:dyDescent="0.3">
      <c r="A16" s="21" t="s">
        <v>17</v>
      </c>
      <c r="B16" s="24">
        <v>4.7</v>
      </c>
    </row>
    <row r="17" spans="1:2" x14ac:dyDescent="0.3">
      <c r="A17" s="21" t="s">
        <v>37</v>
      </c>
      <c r="B17" s="24">
        <v>4.7</v>
      </c>
    </row>
    <row r="18" spans="1:2" x14ac:dyDescent="0.3">
      <c r="A18" s="21" t="s">
        <v>12</v>
      </c>
      <c r="B18" s="24">
        <v>4.5999999999999996</v>
      </c>
    </row>
    <row r="19" spans="1:2" x14ac:dyDescent="0.3">
      <c r="A19" s="21" t="s">
        <v>24</v>
      </c>
      <c r="B19" s="24">
        <v>4.5999999999999996</v>
      </c>
    </row>
    <row r="20" spans="1:2" x14ac:dyDescent="0.3">
      <c r="A20" s="21" t="s">
        <v>25</v>
      </c>
      <c r="B20" s="24">
        <v>4.5999999999999996</v>
      </c>
    </row>
    <row r="21" spans="1:2" x14ac:dyDescent="0.3">
      <c r="A21" s="21" t="s">
        <v>8</v>
      </c>
      <c r="B21" s="24">
        <v>4.5999999999999996</v>
      </c>
    </row>
    <row r="22" spans="1:2" x14ac:dyDescent="0.3">
      <c r="A22" s="21" t="s">
        <v>31</v>
      </c>
      <c r="B22" s="24">
        <v>4.5999999999999996</v>
      </c>
    </row>
    <row r="23" spans="1:2" x14ac:dyDescent="0.3">
      <c r="A23" s="21" t="s">
        <v>40</v>
      </c>
      <c r="B23" s="24">
        <v>4.5</v>
      </c>
    </row>
    <row r="24" spans="1:2" x14ac:dyDescent="0.3">
      <c r="A24" s="21" t="s">
        <v>6</v>
      </c>
      <c r="B24" s="24">
        <v>4.5</v>
      </c>
    </row>
    <row r="25" spans="1:2" x14ac:dyDescent="0.3">
      <c r="A25" s="21" t="s">
        <v>19</v>
      </c>
      <c r="B25" s="24">
        <v>4.5</v>
      </c>
    </row>
    <row r="26" spans="1:2" x14ac:dyDescent="0.3">
      <c r="A26" s="21" t="s">
        <v>44</v>
      </c>
      <c r="B26" s="24">
        <v>4.5</v>
      </c>
    </row>
    <row r="27" spans="1:2" x14ac:dyDescent="0.3">
      <c r="A27" s="21" t="s">
        <v>29</v>
      </c>
      <c r="B27" s="24">
        <v>4.4000000000000004</v>
      </c>
    </row>
    <row r="28" spans="1:2" x14ac:dyDescent="0.3">
      <c r="A28" s="21" t="s">
        <v>38</v>
      </c>
      <c r="B28" s="24">
        <v>4.3</v>
      </c>
    </row>
    <row r="29" spans="1:2" x14ac:dyDescent="0.3">
      <c r="A29" s="21" t="s">
        <v>43</v>
      </c>
      <c r="B29" s="24">
        <v>4.3</v>
      </c>
    </row>
    <row r="30" spans="1:2" x14ac:dyDescent="0.3">
      <c r="A30" s="21" t="s">
        <v>36</v>
      </c>
      <c r="B30" s="24">
        <v>4.3</v>
      </c>
    </row>
    <row r="31" spans="1:2" x14ac:dyDescent="0.3">
      <c r="A31" s="21" t="s">
        <v>30</v>
      </c>
      <c r="B31" s="24">
        <v>4.3</v>
      </c>
    </row>
    <row r="32" spans="1:2" x14ac:dyDescent="0.3">
      <c r="A32" s="21" t="s">
        <v>20</v>
      </c>
      <c r="B32" s="24">
        <v>4.2</v>
      </c>
    </row>
    <row r="33" spans="1:2" x14ac:dyDescent="0.3">
      <c r="A33" s="21" t="s">
        <v>34</v>
      </c>
      <c r="B33" s="24">
        <v>4.0999999999999996</v>
      </c>
    </row>
    <row r="34" spans="1:2" x14ac:dyDescent="0.3">
      <c r="A34" s="21" t="s">
        <v>7</v>
      </c>
      <c r="B34" s="24">
        <v>4.0999999999999996</v>
      </c>
    </row>
    <row r="35" spans="1:2" x14ac:dyDescent="0.3">
      <c r="A35" s="21" t="s">
        <v>16</v>
      </c>
      <c r="B35" s="24">
        <v>4.0999999999999996</v>
      </c>
    </row>
    <row r="36" spans="1:2" x14ac:dyDescent="0.3">
      <c r="A36" s="21" t="s">
        <v>11</v>
      </c>
      <c r="B36" s="24">
        <v>4</v>
      </c>
    </row>
    <row r="37" spans="1:2" x14ac:dyDescent="0.3">
      <c r="A37" s="21" t="s">
        <v>13</v>
      </c>
      <c r="B37" s="24">
        <v>4</v>
      </c>
    </row>
    <row r="38" spans="1:2" x14ac:dyDescent="0.3">
      <c r="A38" s="21" t="s">
        <v>28</v>
      </c>
      <c r="B38" s="24">
        <v>4</v>
      </c>
    </row>
    <row r="39" spans="1:2" x14ac:dyDescent="0.3">
      <c r="A39" s="21" t="s">
        <v>87</v>
      </c>
      <c r="B39" s="24">
        <v>4</v>
      </c>
    </row>
    <row r="40" spans="1:2" x14ac:dyDescent="0.3">
      <c r="A40" s="21" t="s">
        <v>35</v>
      </c>
      <c r="B40" s="24">
        <v>3.8894736842105258</v>
      </c>
    </row>
    <row r="41" spans="1:2" x14ac:dyDescent="0.3">
      <c r="A41" s="21" t="s">
        <v>102</v>
      </c>
      <c r="B41" s="24">
        <v>3.8894736842105258</v>
      </c>
    </row>
    <row r="42" spans="1:2" x14ac:dyDescent="0.3">
      <c r="A42" s="21" t="s">
        <v>85</v>
      </c>
      <c r="B42" s="24">
        <v>3.8894736842105258</v>
      </c>
    </row>
    <row r="43" spans="1:2" x14ac:dyDescent="0.3">
      <c r="A43" s="21" t="s">
        <v>89</v>
      </c>
      <c r="B43" s="24">
        <v>3.8894736842105258</v>
      </c>
    </row>
    <row r="44" spans="1:2" x14ac:dyDescent="0.3">
      <c r="A44" s="21" t="s">
        <v>101</v>
      </c>
      <c r="B44" s="24">
        <v>3.8894736842105258</v>
      </c>
    </row>
    <row r="45" spans="1:2" x14ac:dyDescent="0.3">
      <c r="A45" s="21" t="s">
        <v>109</v>
      </c>
      <c r="B45" s="24">
        <v>3.8894736842105258</v>
      </c>
    </row>
    <row r="46" spans="1:2" x14ac:dyDescent="0.3">
      <c r="A46" s="21" t="s">
        <v>86</v>
      </c>
      <c r="B46" s="24">
        <v>3.8894736842105258</v>
      </c>
    </row>
    <row r="47" spans="1:2" x14ac:dyDescent="0.3">
      <c r="A47" s="21" t="s">
        <v>50</v>
      </c>
      <c r="B47" s="24">
        <v>3.8894736842105258</v>
      </c>
    </row>
    <row r="48" spans="1:2" x14ac:dyDescent="0.3">
      <c r="A48" s="21" t="s">
        <v>45</v>
      </c>
      <c r="B48" s="24">
        <v>3.8894736842105258</v>
      </c>
    </row>
    <row r="49" spans="1:2" x14ac:dyDescent="0.3">
      <c r="A49" s="21" t="s">
        <v>61</v>
      </c>
      <c r="B49" s="24">
        <v>3.8894736842105258</v>
      </c>
    </row>
    <row r="50" spans="1:2" x14ac:dyDescent="0.3">
      <c r="A50" s="21" t="s">
        <v>48</v>
      </c>
      <c r="B50" s="24">
        <v>3.8894736842105258</v>
      </c>
    </row>
    <row r="51" spans="1:2" x14ac:dyDescent="0.3">
      <c r="A51" s="21" t="s">
        <v>53</v>
      </c>
      <c r="B51" s="24">
        <v>3.8894736842105258</v>
      </c>
    </row>
    <row r="52" spans="1:2" x14ac:dyDescent="0.3">
      <c r="A52" s="21" t="s">
        <v>114</v>
      </c>
      <c r="B52" s="24">
        <v>3.8894736842105258</v>
      </c>
    </row>
    <row r="53" spans="1:2" x14ac:dyDescent="0.3">
      <c r="A53" s="21" t="s">
        <v>54</v>
      </c>
      <c r="B53" s="24">
        <v>3.8894736842105258</v>
      </c>
    </row>
    <row r="54" spans="1:2" x14ac:dyDescent="0.3">
      <c r="A54" s="21" t="s">
        <v>88</v>
      </c>
      <c r="B54" s="24">
        <v>3.8894736842105258</v>
      </c>
    </row>
    <row r="55" spans="1:2" x14ac:dyDescent="0.3">
      <c r="A55" s="21" t="s">
        <v>79</v>
      </c>
      <c r="B55" s="24">
        <v>3.8894736842105258</v>
      </c>
    </row>
    <row r="56" spans="1:2" x14ac:dyDescent="0.3">
      <c r="A56" s="21" t="s">
        <v>57</v>
      </c>
      <c r="B56" s="24">
        <v>3.8894736842105258</v>
      </c>
    </row>
    <row r="57" spans="1:2" x14ac:dyDescent="0.3">
      <c r="A57" s="21" t="s">
        <v>59</v>
      </c>
      <c r="B57" s="24">
        <v>3.8894736842105258</v>
      </c>
    </row>
    <row r="58" spans="1:2" x14ac:dyDescent="0.3">
      <c r="A58" s="21" t="s">
        <v>105</v>
      </c>
      <c r="B58" s="24">
        <v>3.8894736842105258</v>
      </c>
    </row>
    <row r="59" spans="1:2" x14ac:dyDescent="0.3">
      <c r="A59" s="21" t="s">
        <v>62</v>
      </c>
      <c r="B59" s="24">
        <v>3.8894736842105258</v>
      </c>
    </row>
    <row r="60" spans="1:2" x14ac:dyDescent="0.3">
      <c r="A60" s="21" t="s">
        <v>82</v>
      </c>
      <c r="B60" s="24">
        <v>3.8894736842105258</v>
      </c>
    </row>
    <row r="61" spans="1:2" x14ac:dyDescent="0.3">
      <c r="A61" s="21" t="s">
        <v>63</v>
      </c>
      <c r="B61" s="24">
        <v>3.8894736842105258</v>
      </c>
    </row>
    <row r="62" spans="1:2" x14ac:dyDescent="0.3">
      <c r="A62" s="21" t="s">
        <v>108</v>
      </c>
      <c r="B62" s="24">
        <v>3.8894736842105258</v>
      </c>
    </row>
    <row r="63" spans="1:2" x14ac:dyDescent="0.3">
      <c r="A63" s="21" t="s">
        <v>80</v>
      </c>
      <c r="B63" s="24">
        <v>3.8894736842105258</v>
      </c>
    </row>
    <row r="64" spans="1:2" x14ac:dyDescent="0.3">
      <c r="A64" s="21" t="s">
        <v>97</v>
      </c>
      <c r="B64" s="24">
        <v>3.8894736842105258</v>
      </c>
    </row>
    <row r="65" spans="1:2" x14ac:dyDescent="0.3">
      <c r="A65" s="21" t="s">
        <v>96</v>
      </c>
      <c r="B65" s="24">
        <v>3.8894736842105258</v>
      </c>
    </row>
    <row r="66" spans="1:2" x14ac:dyDescent="0.3">
      <c r="A66" s="21" t="s">
        <v>47</v>
      </c>
      <c r="B66" s="24">
        <v>3.8894736842105258</v>
      </c>
    </row>
    <row r="67" spans="1:2" x14ac:dyDescent="0.3">
      <c r="A67" s="21" t="s">
        <v>51</v>
      </c>
      <c r="B67" s="24">
        <v>3.8894736842105258</v>
      </c>
    </row>
    <row r="68" spans="1:2" x14ac:dyDescent="0.3">
      <c r="A68" s="21" t="s">
        <v>92</v>
      </c>
      <c r="B68" s="24">
        <v>3.8894736842105258</v>
      </c>
    </row>
    <row r="69" spans="1:2" x14ac:dyDescent="0.3">
      <c r="A69" s="21" t="s">
        <v>106</v>
      </c>
      <c r="B69" s="24">
        <v>3.8894736842105258</v>
      </c>
    </row>
    <row r="70" spans="1:2" x14ac:dyDescent="0.3">
      <c r="A70" s="21" t="s">
        <v>58</v>
      </c>
      <c r="B70" s="24">
        <v>3.8894736842105258</v>
      </c>
    </row>
    <row r="71" spans="1:2" x14ac:dyDescent="0.3">
      <c r="A71" s="21" t="s">
        <v>99</v>
      </c>
      <c r="B71" s="24">
        <v>3.8894736842105258</v>
      </c>
    </row>
    <row r="72" spans="1:2" x14ac:dyDescent="0.3">
      <c r="A72" s="21" t="s">
        <v>90</v>
      </c>
      <c r="B72" s="24">
        <v>3.8894736842105258</v>
      </c>
    </row>
    <row r="73" spans="1:2" x14ac:dyDescent="0.3">
      <c r="A73" s="21" t="s">
        <v>94</v>
      </c>
      <c r="B73" s="24">
        <v>3.8894736842105258</v>
      </c>
    </row>
    <row r="74" spans="1:2" x14ac:dyDescent="0.3">
      <c r="A74" s="21" t="s">
        <v>56</v>
      </c>
      <c r="B74" s="24">
        <v>3.8894736842105258</v>
      </c>
    </row>
    <row r="75" spans="1:2" x14ac:dyDescent="0.3">
      <c r="A75" s="21" t="s">
        <v>95</v>
      </c>
      <c r="B75" s="24">
        <v>3.8894736842105258</v>
      </c>
    </row>
    <row r="76" spans="1:2" x14ac:dyDescent="0.3">
      <c r="A76" s="21" t="s">
        <v>55</v>
      </c>
      <c r="B76" s="24">
        <v>3.8894736842105258</v>
      </c>
    </row>
    <row r="77" spans="1:2" x14ac:dyDescent="0.3">
      <c r="A77" s="21" t="s">
        <v>110</v>
      </c>
      <c r="B77" s="24">
        <v>3.8894736842105258</v>
      </c>
    </row>
    <row r="78" spans="1:2" x14ac:dyDescent="0.3">
      <c r="A78" s="21" t="s">
        <v>52</v>
      </c>
      <c r="B78" s="24">
        <v>3.8894736842105258</v>
      </c>
    </row>
    <row r="79" spans="1:2" x14ac:dyDescent="0.3">
      <c r="A79" s="21" t="s">
        <v>111</v>
      </c>
      <c r="B79" s="24">
        <v>3.8894736842105258</v>
      </c>
    </row>
    <row r="80" spans="1:2" x14ac:dyDescent="0.3">
      <c r="A80" s="21" t="s">
        <v>103</v>
      </c>
      <c r="B80" s="24">
        <v>3.8894736842105258</v>
      </c>
    </row>
    <row r="81" spans="1:2" x14ac:dyDescent="0.3">
      <c r="A81" s="21" t="s">
        <v>100</v>
      </c>
      <c r="B81" s="24">
        <v>3.8894736842105258</v>
      </c>
    </row>
    <row r="82" spans="1:2" x14ac:dyDescent="0.3">
      <c r="A82" s="21" t="s">
        <v>49</v>
      </c>
      <c r="B82" s="24">
        <v>3.8894736842105258</v>
      </c>
    </row>
    <row r="83" spans="1:2" x14ac:dyDescent="0.3">
      <c r="A83" s="21" t="s">
        <v>98</v>
      </c>
      <c r="B83" s="24">
        <v>3.8894736842105258</v>
      </c>
    </row>
    <row r="84" spans="1:2" x14ac:dyDescent="0.3">
      <c r="A84" s="21" t="s">
        <v>60</v>
      </c>
      <c r="B84" s="24">
        <v>3.8894736842105258</v>
      </c>
    </row>
    <row r="85" spans="1:2" x14ac:dyDescent="0.3">
      <c r="A85" s="21" t="s">
        <v>91</v>
      </c>
      <c r="B85" s="24">
        <v>3.8894736842105258</v>
      </c>
    </row>
    <row r="86" spans="1:2" x14ac:dyDescent="0.3">
      <c r="A86" s="21" t="s">
        <v>93</v>
      </c>
      <c r="B86" s="24">
        <v>3.8894736842105258</v>
      </c>
    </row>
    <row r="87" spans="1:2" x14ac:dyDescent="0.3">
      <c r="A87" s="21" t="s">
        <v>46</v>
      </c>
      <c r="B87" s="24">
        <v>3.8894736842105258</v>
      </c>
    </row>
    <row r="88" spans="1:2" x14ac:dyDescent="0.3">
      <c r="A88" s="21" t="s">
        <v>27</v>
      </c>
      <c r="B88" s="24">
        <v>3.8894736842105258</v>
      </c>
    </row>
    <row r="89" spans="1:2" x14ac:dyDescent="0.3">
      <c r="A89" s="21" t="s">
        <v>112</v>
      </c>
      <c r="B89" s="24">
        <v>3.8894736842105258</v>
      </c>
    </row>
    <row r="90" spans="1:2" x14ac:dyDescent="0.3">
      <c r="A90" s="21" t="s">
        <v>107</v>
      </c>
      <c r="B90" s="24">
        <v>3.8894736842105258</v>
      </c>
    </row>
    <row r="91" spans="1:2" x14ac:dyDescent="0.3">
      <c r="A91" s="21" t="s">
        <v>81</v>
      </c>
      <c r="B91" s="24">
        <v>3.8894736842105258</v>
      </c>
    </row>
    <row r="92" spans="1:2" x14ac:dyDescent="0.3">
      <c r="A92" s="21" t="s">
        <v>15</v>
      </c>
      <c r="B92" s="24">
        <v>3.8</v>
      </c>
    </row>
    <row r="93" spans="1:2" x14ac:dyDescent="0.3">
      <c r="A93" s="21" t="s">
        <v>32</v>
      </c>
      <c r="B93" s="24">
        <v>3.8</v>
      </c>
    </row>
    <row r="94" spans="1:2" x14ac:dyDescent="0.3">
      <c r="A94" s="21" t="s">
        <v>33</v>
      </c>
      <c r="B94" s="24">
        <v>3.8</v>
      </c>
    </row>
    <row r="95" spans="1:2" x14ac:dyDescent="0.3">
      <c r="A95" s="21" t="s">
        <v>26</v>
      </c>
      <c r="B95" s="24">
        <v>3.3</v>
      </c>
    </row>
    <row r="96" spans="1:2" x14ac:dyDescent="0.3">
      <c r="A96" s="21" t="s">
        <v>72</v>
      </c>
      <c r="B96" s="24">
        <v>3</v>
      </c>
    </row>
    <row r="97" spans="1:2" x14ac:dyDescent="0.3">
      <c r="A97" s="21" t="s">
        <v>65</v>
      </c>
      <c r="B97" s="24">
        <v>3</v>
      </c>
    </row>
    <row r="98" spans="1:2" x14ac:dyDescent="0.3">
      <c r="A98" s="21" t="s">
        <v>76</v>
      </c>
      <c r="B98" s="24">
        <v>3</v>
      </c>
    </row>
    <row r="99" spans="1:2" x14ac:dyDescent="0.3">
      <c r="A99" s="21" t="s">
        <v>83</v>
      </c>
      <c r="B99" s="24">
        <v>3</v>
      </c>
    </row>
    <row r="100" spans="1:2" x14ac:dyDescent="0.3">
      <c r="A100" s="21" t="s">
        <v>74</v>
      </c>
      <c r="B100" s="24">
        <v>3</v>
      </c>
    </row>
    <row r="101" spans="1:2" x14ac:dyDescent="0.3">
      <c r="A101" s="21" t="s">
        <v>69</v>
      </c>
      <c r="B101" s="24">
        <v>2.9</v>
      </c>
    </row>
    <row r="102" spans="1:2" x14ac:dyDescent="0.3">
      <c r="A102" s="21" t="s">
        <v>67</v>
      </c>
      <c r="B102" s="24">
        <v>2.8</v>
      </c>
    </row>
    <row r="103" spans="1:2" x14ac:dyDescent="0.3">
      <c r="A103" s="21" t="s">
        <v>68</v>
      </c>
      <c r="B103" s="24">
        <v>2.7</v>
      </c>
    </row>
    <row r="104" spans="1:2" x14ac:dyDescent="0.3">
      <c r="A104" s="21" t="s">
        <v>73</v>
      </c>
      <c r="B104" s="24">
        <v>2.6</v>
      </c>
    </row>
    <row r="105" spans="1:2" x14ac:dyDescent="0.3">
      <c r="A105" s="21" t="s">
        <v>64</v>
      </c>
      <c r="B105" s="24">
        <v>2.5</v>
      </c>
    </row>
    <row r="106" spans="1:2" x14ac:dyDescent="0.3">
      <c r="A106" s="21" t="s">
        <v>75</v>
      </c>
      <c r="B106" s="24">
        <v>2.2999999999999998</v>
      </c>
    </row>
    <row r="107" spans="1:2" x14ac:dyDescent="0.3">
      <c r="A107" s="21" t="s">
        <v>71</v>
      </c>
      <c r="B107" s="24">
        <v>2.2999999999999998</v>
      </c>
    </row>
    <row r="108" spans="1:2" x14ac:dyDescent="0.3">
      <c r="A108" s="21" t="s">
        <v>77</v>
      </c>
      <c r="B108" s="24">
        <v>2.2000000000000002</v>
      </c>
    </row>
    <row r="109" spans="1:2" x14ac:dyDescent="0.3">
      <c r="A109" s="21" t="s">
        <v>70</v>
      </c>
      <c r="B109" s="24">
        <v>2.2000000000000002</v>
      </c>
    </row>
    <row r="110" spans="1:2" x14ac:dyDescent="0.3">
      <c r="A110" s="21" t="s">
        <v>78</v>
      </c>
      <c r="B110" s="24">
        <v>2.1</v>
      </c>
    </row>
    <row r="111" spans="1:2" x14ac:dyDescent="0.3">
      <c r="A111" s="21" t="s">
        <v>66</v>
      </c>
      <c r="B111" s="24">
        <v>2.1</v>
      </c>
    </row>
    <row r="112" spans="1:2" x14ac:dyDescent="0.3">
      <c r="A112" s="21" t="s">
        <v>113</v>
      </c>
      <c r="B112" s="24">
        <v>2</v>
      </c>
    </row>
    <row r="113" spans="1:2" x14ac:dyDescent="0.3">
      <c r="A113" s="21" t="s">
        <v>136</v>
      </c>
      <c r="B113" s="24">
        <v>423.9526315789476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01"/>
  <sheetViews>
    <sheetView topLeftCell="A153" workbookViewId="0">
      <selection activeCell="P174" sqref="P174"/>
    </sheetView>
  </sheetViews>
  <sheetFormatPr defaultRowHeight="14.4" x14ac:dyDescent="0.3"/>
  <cols>
    <col min="1" max="1" width="12.5546875" customWidth="1"/>
    <col min="2" max="2" width="15.5546875" customWidth="1"/>
    <col min="3" max="3" width="18.109375" customWidth="1"/>
    <col min="4" max="4" width="18.109375" bestFit="1" customWidth="1"/>
    <col min="5" max="5" width="9.109375" bestFit="1" customWidth="1"/>
    <col min="9" max="9" width="18.109375" bestFit="1" customWidth="1"/>
    <col min="10" max="10" width="13.21875" bestFit="1" customWidth="1"/>
    <col min="11" max="11" width="17.21875" bestFit="1" customWidth="1"/>
    <col min="12" max="12" width="17.6640625" bestFit="1" customWidth="1"/>
  </cols>
  <sheetData>
    <row r="3" spans="1:5" x14ac:dyDescent="0.3">
      <c r="A3" t="s">
        <v>144</v>
      </c>
      <c r="D3" s="28" t="s">
        <v>146</v>
      </c>
      <c r="E3">
        <f>GETPIVOTDATA("Product",$A$3)</f>
        <v>109</v>
      </c>
    </row>
    <row r="4" spans="1:5" x14ac:dyDescent="0.3">
      <c r="A4" s="22">
        <v>109</v>
      </c>
    </row>
    <row r="7" spans="1:5" x14ac:dyDescent="0.3">
      <c r="A7" t="s">
        <v>140</v>
      </c>
      <c r="D7" s="28" t="s">
        <v>147</v>
      </c>
      <c r="E7" s="29">
        <f>GETPIVOTDATA("Rating",$A$7)</f>
        <v>3.8894736842105289</v>
      </c>
    </row>
    <row r="8" spans="1:5" x14ac:dyDescent="0.3">
      <c r="A8" s="27">
        <v>3.8894736842105289</v>
      </c>
    </row>
    <row r="11" spans="1:5" x14ac:dyDescent="0.3">
      <c r="A11" t="s">
        <v>137</v>
      </c>
      <c r="D11" s="28" t="s">
        <v>148</v>
      </c>
      <c r="E11" s="6">
        <f>GETPIVOTDATA("Discount",$A$11)</f>
        <v>0.3647706422018348</v>
      </c>
    </row>
    <row r="12" spans="1:5" x14ac:dyDescent="0.3">
      <c r="A12" s="1">
        <v>0.3647706422018348</v>
      </c>
    </row>
    <row r="15" spans="1:5" x14ac:dyDescent="0.3">
      <c r="A15" t="s">
        <v>145</v>
      </c>
      <c r="D15" s="28" t="s">
        <v>149</v>
      </c>
      <c r="E15" s="30">
        <f>GETPIVOTDATA("Review",$A$15)</f>
        <v>1382.5789473684233</v>
      </c>
    </row>
    <row r="16" spans="1:5" x14ac:dyDescent="0.3">
      <c r="A16" s="25">
        <v>1382.5789473684233</v>
      </c>
    </row>
    <row r="19" spans="1:2" x14ac:dyDescent="0.3">
      <c r="A19" s="20" t="s">
        <v>132</v>
      </c>
      <c r="B19" t="s">
        <v>140</v>
      </c>
    </row>
    <row r="20" spans="1:2" x14ac:dyDescent="0.3">
      <c r="A20" s="21" t="s">
        <v>41</v>
      </c>
      <c r="B20" s="25">
        <v>5</v>
      </c>
    </row>
    <row r="21" spans="1:2" x14ac:dyDescent="0.3">
      <c r="A21" s="21" t="s">
        <v>23</v>
      </c>
      <c r="B21" s="25">
        <v>5</v>
      </c>
    </row>
    <row r="22" spans="1:2" x14ac:dyDescent="0.3">
      <c r="A22" s="21" t="s">
        <v>104</v>
      </c>
      <c r="B22" s="25">
        <v>5</v>
      </c>
    </row>
    <row r="23" spans="1:2" x14ac:dyDescent="0.3">
      <c r="A23" s="21" t="s">
        <v>21</v>
      </c>
      <c r="B23" s="25">
        <v>5</v>
      </c>
    </row>
    <row r="24" spans="1:2" x14ac:dyDescent="0.3">
      <c r="A24" s="21" t="s">
        <v>22</v>
      </c>
      <c r="B24" s="25">
        <v>5</v>
      </c>
    </row>
    <row r="25" spans="1:2" x14ac:dyDescent="0.3">
      <c r="A25" s="21" t="s">
        <v>42</v>
      </c>
      <c r="B25" s="25">
        <v>5</v>
      </c>
    </row>
    <row r="26" spans="1:2" x14ac:dyDescent="0.3">
      <c r="A26" s="21" t="s">
        <v>84</v>
      </c>
      <c r="B26" s="25">
        <v>5</v>
      </c>
    </row>
    <row r="27" spans="1:2" x14ac:dyDescent="0.3">
      <c r="A27" s="21" t="s">
        <v>14</v>
      </c>
      <c r="B27" s="25">
        <v>4.8</v>
      </c>
    </row>
    <row r="28" spans="1:2" x14ac:dyDescent="0.3">
      <c r="A28" s="21" t="s">
        <v>10</v>
      </c>
      <c r="B28" s="25">
        <v>4.8</v>
      </c>
    </row>
    <row r="29" spans="1:2" x14ac:dyDescent="0.3">
      <c r="A29" s="21" t="s">
        <v>18</v>
      </c>
      <c r="B29" s="25">
        <v>4.8</v>
      </c>
    </row>
    <row r="30" spans="1:2" x14ac:dyDescent="0.3">
      <c r="A30" s="21" t="s">
        <v>39</v>
      </c>
      <c r="B30" s="25">
        <v>4.7</v>
      </c>
    </row>
    <row r="31" spans="1:2" x14ac:dyDescent="0.3">
      <c r="A31" s="21" t="s">
        <v>9</v>
      </c>
      <c r="B31" s="25">
        <v>4.7</v>
      </c>
    </row>
    <row r="32" spans="1:2" x14ac:dyDescent="0.3">
      <c r="A32" s="21" t="s">
        <v>17</v>
      </c>
      <c r="B32" s="25">
        <v>4.7</v>
      </c>
    </row>
    <row r="33" spans="1:2" x14ac:dyDescent="0.3">
      <c r="A33" s="21" t="s">
        <v>37</v>
      </c>
      <c r="B33" s="25">
        <v>4.7</v>
      </c>
    </row>
    <row r="34" spans="1:2" x14ac:dyDescent="0.3">
      <c r="A34" s="21" t="s">
        <v>12</v>
      </c>
      <c r="B34" s="25">
        <v>4.5999999999999996</v>
      </c>
    </row>
    <row r="35" spans="1:2" x14ac:dyDescent="0.3">
      <c r="A35" s="21" t="s">
        <v>24</v>
      </c>
      <c r="B35" s="25">
        <v>4.5999999999999996</v>
      </c>
    </row>
    <row r="36" spans="1:2" x14ac:dyDescent="0.3">
      <c r="A36" s="21" t="s">
        <v>25</v>
      </c>
      <c r="B36" s="25">
        <v>4.5999999999999996</v>
      </c>
    </row>
    <row r="37" spans="1:2" x14ac:dyDescent="0.3">
      <c r="A37" s="21" t="s">
        <v>8</v>
      </c>
      <c r="B37" s="25">
        <v>4.5999999999999996</v>
      </c>
    </row>
    <row r="38" spans="1:2" x14ac:dyDescent="0.3">
      <c r="A38" s="21" t="s">
        <v>31</v>
      </c>
      <c r="B38" s="25">
        <v>4.5999999999999996</v>
      </c>
    </row>
    <row r="39" spans="1:2" x14ac:dyDescent="0.3">
      <c r="A39" s="21" t="s">
        <v>40</v>
      </c>
      <c r="B39" s="25">
        <v>4.5</v>
      </c>
    </row>
    <row r="40" spans="1:2" x14ac:dyDescent="0.3">
      <c r="A40" s="21" t="s">
        <v>6</v>
      </c>
      <c r="B40" s="25">
        <v>4.5</v>
      </c>
    </row>
    <row r="41" spans="1:2" x14ac:dyDescent="0.3">
      <c r="A41" s="21" t="s">
        <v>19</v>
      </c>
      <c r="B41" s="25">
        <v>4.5</v>
      </c>
    </row>
    <row r="42" spans="1:2" x14ac:dyDescent="0.3">
      <c r="A42" s="21" t="s">
        <v>44</v>
      </c>
      <c r="B42" s="25">
        <v>4.5</v>
      </c>
    </row>
    <row r="43" spans="1:2" x14ac:dyDescent="0.3">
      <c r="A43" s="21" t="s">
        <v>29</v>
      </c>
      <c r="B43" s="25">
        <v>4.4000000000000004</v>
      </c>
    </row>
    <row r="44" spans="1:2" x14ac:dyDescent="0.3">
      <c r="A44" s="21" t="s">
        <v>38</v>
      </c>
      <c r="B44" s="25">
        <v>4.3</v>
      </c>
    </row>
    <row r="45" spans="1:2" x14ac:dyDescent="0.3">
      <c r="A45" s="21" t="s">
        <v>43</v>
      </c>
      <c r="B45" s="25">
        <v>4.3</v>
      </c>
    </row>
    <row r="46" spans="1:2" x14ac:dyDescent="0.3">
      <c r="A46" s="21" t="s">
        <v>36</v>
      </c>
      <c r="B46" s="25">
        <v>4.3</v>
      </c>
    </row>
    <row r="47" spans="1:2" x14ac:dyDescent="0.3">
      <c r="A47" s="21" t="s">
        <v>30</v>
      </c>
      <c r="B47" s="25">
        <v>4.3</v>
      </c>
    </row>
    <row r="48" spans="1:2" x14ac:dyDescent="0.3">
      <c r="A48" s="21" t="s">
        <v>20</v>
      </c>
      <c r="B48" s="25">
        <v>4.2</v>
      </c>
    </row>
    <row r="49" spans="1:2" x14ac:dyDescent="0.3">
      <c r="A49" s="21" t="s">
        <v>34</v>
      </c>
      <c r="B49" s="25">
        <v>4.0999999999999996</v>
      </c>
    </row>
    <row r="50" spans="1:2" x14ac:dyDescent="0.3">
      <c r="A50" s="21" t="s">
        <v>7</v>
      </c>
      <c r="B50" s="25">
        <v>4.0999999999999996</v>
      </c>
    </row>
    <row r="51" spans="1:2" x14ac:dyDescent="0.3">
      <c r="A51" s="21" t="s">
        <v>16</v>
      </c>
      <c r="B51" s="25">
        <v>4.0999999999999996</v>
      </c>
    </row>
    <row r="52" spans="1:2" x14ac:dyDescent="0.3">
      <c r="A52" s="21" t="s">
        <v>11</v>
      </c>
      <c r="B52" s="25">
        <v>4</v>
      </c>
    </row>
    <row r="53" spans="1:2" x14ac:dyDescent="0.3">
      <c r="A53" s="21" t="s">
        <v>13</v>
      </c>
      <c r="B53" s="25">
        <v>4</v>
      </c>
    </row>
    <row r="54" spans="1:2" x14ac:dyDescent="0.3">
      <c r="A54" s="21" t="s">
        <v>28</v>
      </c>
      <c r="B54" s="25">
        <v>4</v>
      </c>
    </row>
    <row r="55" spans="1:2" x14ac:dyDescent="0.3">
      <c r="A55" s="21" t="s">
        <v>87</v>
      </c>
      <c r="B55" s="25">
        <v>4</v>
      </c>
    </row>
    <row r="56" spans="1:2" x14ac:dyDescent="0.3">
      <c r="A56" s="21" t="s">
        <v>35</v>
      </c>
      <c r="B56" s="25">
        <v>3.8894736842105258</v>
      </c>
    </row>
    <row r="57" spans="1:2" x14ac:dyDescent="0.3">
      <c r="A57" s="21" t="s">
        <v>102</v>
      </c>
      <c r="B57" s="25">
        <v>3.8894736842105258</v>
      </c>
    </row>
    <row r="58" spans="1:2" x14ac:dyDescent="0.3">
      <c r="A58" s="21" t="s">
        <v>85</v>
      </c>
      <c r="B58" s="25">
        <v>3.8894736842105258</v>
      </c>
    </row>
    <row r="59" spans="1:2" x14ac:dyDescent="0.3">
      <c r="A59" s="21" t="s">
        <v>89</v>
      </c>
      <c r="B59" s="25">
        <v>3.8894736842105258</v>
      </c>
    </row>
    <row r="60" spans="1:2" x14ac:dyDescent="0.3">
      <c r="A60" s="21" t="s">
        <v>101</v>
      </c>
      <c r="B60" s="25">
        <v>3.8894736842105258</v>
      </c>
    </row>
    <row r="61" spans="1:2" x14ac:dyDescent="0.3">
      <c r="A61" s="21" t="s">
        <v>109</v>
      </c>
      <c r="B61" s="25">
        <v>3.8894736842105258</v>
      </c>
    </row>
    <row r="62" spans="1:2" x14ac:dyDescent="0.3">
      <c r="A62" s="21" t="s">
        <v>86</v>
      </c>
      <c r="B62" s="25">
        <v>3.8894736842105258</v>
      </c>
    </row>
    <row r="63" spans="1:2" x14ac:dyDescent="0.3">
      <c r="A63" s="21" t="s">
        <v>50</v>
      </c>
      <c r="B63" s="25">
        <v>3.8894736842105258</v>
      </c>
    </row>
    <row r="64" spans="1:2" x14ac:dyDescent="0.3">
      <c r="A64" s="21" t="s">
        <v>45</v>
      </c>
      <c r="B64" s="25">
        <v>3.8894736842105258</v>
      </c>
    </row>
    <row r="65" spans="1:2" x14ac:dyDescent="0.3">
      <c r="A65" s="21" t="s">
        <v>61</v>
      </c>
      <c r="B65" s="25">
        <v>3.8894736842105258</v>
      </c>
    </row>
    <row r="66" spans="1:2" x14ac:dyDescent="0.3">
      <c r="A66" s="21" t="s">
        <v>48</v>
      </c>
      <c r="B66" s="25">
        <v>3.8894736842105258</v>
      </c>
    </row>
    <row r="67" spans="1:2" x14ac:dyDescent="0.3">
      <c r="A67" s="21" t="s">
        <v>53</v>
      </c>
      <c r="B67" s="25">
        <v>3.8894736842105258</v>
      </c>
    </row>
    <row r="68" spans="1:2" x14ac:dyDescent="0.3">
      <c r="A68" s="21" t="s">
        <v>114</v>
      </c>
      <c r="B68" s="25">
        <v>3.8894736842105258</v>
      </c>
    </row>
    <row r="69" spans="1:2" x14ac:dyDescent="0.3">
      <c r="A69" s="21" t="s">
        <v>54</v>
      </c>
      <c r="B69" s="25">
        <v>3.8894736842105258</v>
      </c>
    </row>
    <row r="70" spans="1:2" x14ac:dyDescent="0.3">
      <c r="A70" s="21" t="s">
        <v>88</v>
      </c>
      <c r="B70" s="25">
        <v>3.8894736842105258</v>
      </c>
    </row>
    <row r="71" spans="1:2" x14ac:dyDescent="0.3">
      <c r="A71" s="21" t="s">
        <v>79</v>
      </c>
      <c r="B71" s="25">
        <v>3.8894736842105258</v>
      </c>
    </row>
    <row r="72" spans="1:2" x14ac:dyDescent="0.3">
      <c r="A72" s="21" t="s">
        <v>57</v>
      </c>
      <c r="B72" s="25">
        <v>3.8894736842105258</v>
      </c>
    </row>
    <row r="73" spans="1:2" x14ac:dyDescent="0.3">
      <c r="A73" s="21" t="s">
        <v>59</v>
      </c>
      <c r="B73" s="25">
        <v>3.8894736842105258</v>
      </c>
    </row>
    <row r="74" spans="1:2" x14ac:dyDescent="0.3">
      <c r="A74" s="21" t="s">
        <v>105</v>
      </c>
      <c r="B74" s="25">
        <v>3.8894736842105258</v>
      </c>
    </row>
    <row r="75" spans="1:2" x14ac:dyDescent="0.3">
      <c r="A75" s="21" t="s">
        <v>62</v>
      </c>
      <c r="B75" s="25">
        <v>3.8894736842105258</v>
      </c>
    </row>
    <row r="76" spans="1:2" x14ac:dyDescent="0.3">
      <c r="A76" s="21" t="s">
        <v>82</v>
      </c>
      <c r="B76" s="25">
        <v>3.8894736842105258</v>
      </c>
    </row>
    <row r="77" spans="1:2" x14ac:dyDescent="0.3">
      <c r="A77" s="21" t="s">
        <v>63</v>
      </c>
      <c r="B77" s="25">
        <v>3.8894736842105258</v>
      </c>
    </row>
    <row r="78" spans="1:2" x14ac:dyDescent="0.3">
      <c r="A78" s="21" t="s">
        <v>108</v>
      </c>
      <c r="B78" s="25">
        <v>3.8894736842105258</v>
      </c>
    </row>
    <row r="79" spans="1:2" x14ac:dyDescent="0.3">
      <c r="A79" s="21" t="s">
        <v>80</v>
      </c>
      <c r="B79" s="25">
        <v>3.8894736842105258</v>
      </c>
    </row>
    <row r="80" spans="1:2" x14ac:dyDescent="0.3">
      <c r="A80" s="21" t="s">
        <v>97</v>
      </c>
      <c r="B80" s="25">
        <v>3.8894736842105258</v>
      </c>
    </row>
    <row r="81" spans="1:2" x14ac:dyDescent="0.3">
      <c r="A81" s="21" t="s">
        <v>96</v>
      </c>
      <c r="B81" s="25">
        <v>3.8894736842105258</v>
      </c>
    </row>
    <row r="82" spans="1:2" x14ac:dyDescent="0.3">
      <c r="A82" s="21" t="s">
        <v>47</v>
      </c>
      <c r="B82" s="25">
        <v>3.8894736842105258</v>
      </c>
    </row>
    <row r="83" spans="1:2" x14ac:dyDescent="0.3">
      <c r="A83" s="21" t="s">
        <v>51</v>
      </c>
      <c r="B83" s="25">
        <v>3.8894736842105258</v>
      </c>
    </row>
    <row r="84" spans="1:2" x14ac:dyDescent="0.3">
      <c r="A84" s="21" t="s">
        <v>92</v>
      </c>
      <c r="B84" s="25">
        <v>3.8894736842105258</v>
      </c>
    </row>
    <row r="85" spans="1:2" x14ac:dyDescent="0.3">
      <c r="A85" s="21" t="s">
        <v>106</v>
      </c>
      <c r="B85" s="25">
        <v>3.8894736842105258</v>
      </c>
    </row>
    <row r="86" spans="1:2" x14ac:dyDescent="0.3">
      <c r="A86" s="21" t="s">
        <v>58</v>
      </c>
      <c r="B86" s="25">
        <v>3.8894736842105258</v>
      </c>
    </row>
    <row r="87" spans="1:2" x14ac:dyDescent="0.3">
      <c r="A87" s="21" t="s">
        <v>99</v>
      </c>
      <c r="B87" s="25">
        <v>3.8894736842105258</v>
      </c>
    </row>
    <row r="88" spans="1:2" x14ac:dyDescent="0.3">
      <c r="A88" s="21" t="s">
        <v>90</v>
      </c>
      <c r="B88" s="25">
        <v>3.8894736842105258</v>
      </c>
    </row>
    <row r="89" spans="1:2" x14ac:dyDescent="0.3">
      <c r="A89" s="21" t="s">
        <v>94</v>
      </c>
      <c r="B89" s="25">
        <v>3.8894736842105258</v>
      </c>
    </row>
    <row r="90" spans="1:2" x14ac:dyDescent="0.3">
      <c r="A90" s="21" t="s">
        <v>56</v>
      </c>
      <c r="B90" s="25">
        <v>3.8894736842105258</v>
      </c>
    </row>
    <row r="91" spans="1:2" x14ac:dyDescent="0.3">
      <c r="A91" s="21" t="s">
        <v>95</v>
      </c>
      <c r="B91" s="25">
        <v>3.8894736842105258</v>
      </c>
    </row>
    <row r="92" spans="1:2" x14ac:dyDescent="0.3">
      <c r="A92" s="21" t="s">
        <v>55</v>
      </c>
      <c r="B92" s="25">
        <v>3.8894736842105258</v>
      </c>
    </row>
    <row r="93" spans="1:2" x14ac:dyDescent="0.3">
      <c r="A93" s="21" t="s">
        <v>110</v>
      </c>
      <c r="B93" s="25">
        <v>3.8894736842105258</v>
      </c>
    </row>
    <row r="94" spans="1:2" x14ac:dyDescent="0.3">
      <c r="A94" s="21" t="s">
        <v>52</v>
      </c>
      <c r="B94" s="25">
        <v>3.8894736842105258</v>
      </c>
    </row>
    <row r="95" spans="1:2" x14ac:dyDescent="0.3">
      <c r="A95" s="21" t="s">
        <v>111</v>
      </c>
      <c r="B95" s="25">
        <v>3.8894736842105258</v>
      </c>
    </row>
    <row r="96" spans="1:2" x14ac:dyDescent="0.3">
      <c r="A96" s="21" t="s">
        <v>103</v>
      </c>
      <c r="B96" s="25">
        <v>3.8894736842105258</v>
      </c>
    </row>
    <row r="97" spans="1:2" x14ac:dyDescent="0.3">
      <c r="A97" s="21" t="s">
        <v>100</v>
      </c>
      <c r="B97" s="25">
        <v>3.8894736842105258</v>
      </c>
    </row>
    <row r="98" spans="1:2" x14ac:dyDescent="0.3">
      <c r="A98" s="21" t="s">
        <v>49</v>
      </c>
      <c r="B98" s="25">
        <v>3.8894736842105258</v>
      </c>
    </row>
    <row r="99" spans="1:2" x14ac:dyDescent="0.3">
      <c r="A99" s="21" t="s">
        <v>98</v>
      </c>
      <c r="B99" s="25">
        <v>3.8894736842105258</v>
      </c>
    </row>
    <row r="100" spans="1:2" x14ac:dyDescent="0.3">
      <c r="A100" s="21" t="s">
        <v>60</v>
      </c>
      <c r="B100" s="25">
        <v>3.8894736842105258</v>
      </c>
    </row>
    <row r="101" spans="1:2" x14ac:dyDescent="0.3">
      <c r="A101" s="21" t="s">
        <v>91</v>
      </c>
      <c r="B101" s="25">
        <v>3.8894736842105258</v>
      </c>
    </row>
    <row r="102" spans="1:2" x14ac:dyDescent="0.3">
      <c r="A102" s="21" t="s">
        <v>93</v>
      </c>
      <c r="B102" s="25">
        <v>3.8894736842105258</v>
      </c>
    </row>
    <row r="103" spans="1:2" x14ac:dyDescent="0.3">
      <c r="A103" s="21" t="s">
        <v>46</v>
      </c>
      <c r="B103" s="25">
        <v>3.8894736842105258</v>
      </c>
    </row>
    <row r="104" spans="1:2" x14ac:dyDescent="0.3">
      <c r="A104" s="21" t="s">
        <v>27</v>
      </c>
      <c r="B104" s="25">
        <v>3.8894736842105258</v>
      </c>
    </row>
    <row r="105" spans="1:2" x14ac:dyDescent="0.3">
      <c r="A105" s="21" t="s">
        <v>112</v>
      </c>
      <c r="B105" s="25">
        <v>3.8894736842105258</v>
      </c>
    </row>
    <row r="106" spans="1:2" x14ac:dyDescent="0.3">
      <c r="A106" s="21" t="s">
        <v>107</v>
      </c>
      <c r="B106" s="25">
        <v>3.8894736842105258</v>
      </c>
    </row>
    <row r="107" spans="1:2" x14ac:dyDescent="0.3">
      <c r="A107" s="21" t="s">
        <v>81</v>
      </c>
      <c r="B107" s="25">
        <v>3.8894736842105258</v>
      </c>
    </row>
    <row r="108" spans="1:2" x14ac:dyDescent="0.3">
      <c r="A108" s="21" t="s">
        <v>15</v>
      </c>
      <c r="B108" s="25">
        <v>3.8</v>
      </c>
    </row>
    <row r="109" spans="1:2" x14ac:dyDescent="0.3">
      <c r="A109" s="21" t="s">
        <v>32</v>
      </c>
      <c r="B109" s="25">
        <v>3.8</v>
      </c>
    </row>
    <row r="110" spans="1:2" x14ac:dyDescent="0.3">
      <c r="A110" s="21" t="s">
        <v>33</v>
      </c>
      <c r="B110" s="25">
        <v>3.8</v>
      </c>
    </row>
    <row r="111" spans="1:2" x14ac:dyDescent="0.3">
      <c r="A111" s="21" t="s">
        <v>26</v>
      </c>
      <c r="B111" s="25">
        <v>3.3</v>
      </c>
    </row>
    <row r="112" spans="1:2" x14ac:dyDescent="0.3">
      <c r="A112" s="21" t="s">
        <v>72</v>
      </c>
      <c r="B112" s="25">
        <v>3</v>
      </c>
    </row>
    <row r="113" spans="1:2" x14ac:dyDescent="0.3">
      <c r="A113" s="21" t="s">
        <v>65</v>
      </c>
      <c r="B113" s="25">
        <v>3</v>
      </c>
    </row>
    <row r="114" spans="1:2" x14ac:dyDescent="0.3">
      <c r="A114" s="21" t="s">
        <v>76</v>
      </c>
      <c r="B114" s="25">
        <v>3</v>
      </c>
    </row>
    <row r="115" spans="1:2" x14ac:dyDescent="0.3">
      <c r="A115" s="21" t="s">
        <v>83</v>
      </c>
      <c r="B115" s="25">
        <v>3</v>
      </c>
    </row>
    <row r="116" spans="1:2" x14ac:dyDescent="0.3">
      <c r="A116" s="21" t="s">
        <v>74</v>
      </c>
      <c r="B116" s="25">
        <v>3</v>
      </c>
    </row>
    <row r="117" spans="1:2" x14ac:dyDescent="0.3">
      <c r="A117" s="21" t="s">
        <v>69</v>
      </c>
      <c r="B117" s="25">
        <v>2.9</v>
      </c>
    </row>
    <row r="118" spans="1:2" x14ac:dyDescent="0.3">
      <c r="A118" s="21" t="s">
        <v>67</v>
      </c>
      <c r="B118" s="25">
        <v>2.8</v>
      </c>
    </row>
    <row r="119" spans="1:2" x14ac:dyDescent="0.3">
      <c r="A119" s="21" t="s">
        <v>68</v>
      </c>
      <c r="B119" s="25">
        <v>2.7</v>
      </c>
    </row>
    <row r="120" spans="1:2" x14ac:dyDescent="0.3">
      <c r="A120" s="21" t="s">
        <v>73</v>
      </c>
      <c r="B120" s="25">
        <v>2.6</v>
      </c>
    </row>
    <row r="121" spans="1:2" x14ac:dyDescent="0.3">
      <c r="A121" s="21" t="s">
        <v>64</v>
      </c>
      <c r="B121" s="25">
        <v>2.5</v>
      </c>
    </row>
    <row r="122" spans="1:2" x14ac:dyDescent="0.3">
      <c r="A122" s="21" t="s">
        <v>75</v>
      </c>
      <c r="B122" s="25">
        <v>2.2999999999999998</v>
      </c>
    </row>
    <row r="123" spans="1:2" x14ac:dyDescent="0.3">
      <c r="A123" s="21" t="s">
        <v>71</v>
      </c>
      <c r="B123" s="25">
        <v>2.2999999999999998</v>
      </c>
    </row>
    <row r="124" spans="1:2" x14ac:dyDescent="0.3">
      <c r="A124" s="21" t="s">
        <v>77</v>
      </c>
      <c r="B124" s="25">
        <v>2.2000000000000002</v>
      </c>
    </row>
    <row r="125" spans="1:2" x14ac:dyDescent="0.3">
      <c r="A125" s="21" t="s">
        <v>70</v>
      </c>
      <c r="B125" s="25">
        <v>2.2000000000000002</v>
      </c>
    </row>
    <row r="126" spans="1:2" x14ac:dyDescent="0.3">
      <c r="A126" s="21" t="s">
        <v>78</v>
      </c>
      <c r="B126" s="25">
        <v>2.1</v>
      </c>
    </row>
    <row r="127" spans="1:2" x14ac:dyDescent="0.3">
      <c r="A127" s="21" t="s">
        <v>66</v>
      </c>
      <c r="B127" s="25">
        <v>2.1</v>
      </c>
    </row>
    <row r="128" spans="1:2" x14ac:dyDescent="0.3">
      <c r="A128" s="21" t="s">
        <v>113</v>
      </c>
      <c r="B128" s="25">
        <v>2</v>
      </c>
    </row>
    <row r="129" spans="1:2" x14ac:dyDescent="0.3">
      <c r="A129" s="21" t="s">
        <v>136</v>
      </c>
      <c r="B129" s="25">
        <v>3.8894736842105284</v>
      </c>
    </row>
    <row r="131" spans="1:2" x14ac:dyDescent="0.3">
      <c r="A131" s="20" t="s">
        <v>132</v>
      </c>
      <c r="B131" t="s">
        <v>145</v>
      </c>
    </row>
    <row r="132" spans="1:2" x14ac:dyDescent="0.3">
      <c r="A132" s="21" t="s">
        <v>67</v>
      </c>
      <c r="B132" s="25">
        <v>69</v>
      </c>
    </row>
    <row r="133" spans="1:2" x14ac:dyDescent="0.3">
      <c r="A133" s="21" t="s">
        <v>12</v>
      </c>
      <c r="B133" s="25">
        <v>55</v>
      </c>
    </row>
    <row r="134" spans="1:2" x14ac:dyDescent="0.3">
      <c r="A134" s="21" t="s">
        <v>31</v>
      </c>
      <c r="B134" s="25">
        <v>49</v>
      </c>
    </row>
    <row r="135" spans="1:2" x14ac:dyDescent="0.3">
      <c r="A135" s="21" t="s">
        <v>25</v>
      </c>
      <c r="B135" s="25">
        <v>44</v>
      </c>
    </row>
    <row r="136" spans="1:2" x14ac:dyDescent="0.3">
      <c r="A136" s="21" t="s">
        <v>17</v>
      </c>
      <c r="B136" s="25">
        <v>39</v>
      </c>
    </row>
    <row r="137" spans="1:2" x14ac:dyDescent="0.3">
      <c r="A137" s="21" t="s">
        <v>43</v>
      </c>
      <c r="B137" s="25">
        <v>36</v>
      </c>
    </row>
    <row r="138" spans="1:2" x14ac:dyDescent="0.3">
      <c r="A138" s="21" t="s">
        <v>40</v>
      </c>
      <c r="B138" s="25">
        <v>32</v>
      </c>
    </row>
    <row r="139" spans="1:2" x14ac:dyDescent="0.3">
      <c r="A139" s="21" t="s">
        <v>8</v>
      </c>
      <c r="B139" s="25">
        <v>24</v>
      </c>
    </row>
    <row r="140" spans="1:2" x14ac:dyDescent="0.3">
      <c r="A140" s="21" t="s">
        <v>39</v>
      </c>
      <c r="B140" s="25">
        <v>20</v>
      </c>
    </row>
    <row r="141" spans="1:2" x14ac:dyDescent="0.3">
      <c r="A141" s="21" t="s">
        <v>34</v>
      </c>
      <c r="B141" s="25">
        <v>20</v>
      </c>
    </row>
    <row r="142" spans="1:2" x14ac:dyDescent="0.3">
      <c r="A142" s="21" t="s">
        <v>136</v>
      </c>
      <c r="B142" s="25">
        <v>388</v>
      </c>
    </row>
    <row r="144" spans="1:2" x14ac:dyDescent="0.3">
      <c r="A144" s="21"/>
      <c r="B144" s="25"/>
    </row>
    <row r="145" spans="1:2" x14ac:dyDescent="0.3">
      <c r="A145" s="21"/>
      <c r="B145" s="25"/>
    </row>
    <row r="146" spans="1:2" x14ac:dyDescent="0.3">
      <c r="A146" s="21"/>
      <c r="B146" s="25"/>
    </row>
    <row r="149" spans="1:2" x14ac:dyDescent="0.3">
      <c r="A149" s="20" t="s">
        <v>132</v>
      </c>
      <c r="B149" t="s">
        <v>137</v>
      </c>
    </row>
    <row r="150" spans="1:2" x14ac:dyDescent="0.3">
      <c r="A150" s="21" t="s">
        <v>112</v>
      </c>
      <c r="B150" s="1">
        <v>0.64</v>
      </c>
    </row>
    <row r="151" spans="1:2" x14ac:dyDescent="0.3">
      <c r="A151" s="21" t="s">
        <v>54</v>
      </c>
      <c r="B151" s="1">
        <v>0.61</v>
      </c>
    </row>
    <row r="152" spans="1:2" x14ac:dyDescent="0.3">
      <c r="A152" s="21" t="s">
        <v>66</v>
      </c>
      <c r="B152" s="1">
        <v>0.55000000000000004</v>
      </c>
    </row>
    <row r="153" spans="1:2" x14ac:dyDescent="0.3">
      <c r="A153" s="21" t="s">
        <v>14</v>
      </c>
      <c r="B153" s="1">
        <v>0.55000000000000004</v>
      </c>
    </row>
    <row r="154" spans="1:2" x14ac:dyDescent="0.3">
      <c r="A154" s="21" t="s">
        <v>60</v>
      </c>
      <c r="B154" s="1">
        <v>0.55000000000000004</v>
      </c>
    </row>
    <row r="155" spans="1:2" x14ac:dyDescent="0.3">
      <c r="A155" s="21" t="s">
        <v>65</v>
      </c>
      <c r="B155" s="1">
        <v>0.54</v>
      </c>
    </row>
    <row r="156" spans="1:2" x14ac:dyDescent="0.3">
      <c r="A156" s="21" t="s">
        <v>30</v>
      </c>
      <c r="B156" s="1">
        <v>0.54</v>
      </c>
    </row>
    <row r="157" spans="1:2" x14ac:dyDescent="0.3">
      <c r="A157" s="21" t="s">
        <v>42</v>
      </c>
      <c r="B157" s="1">
        <v>0.53</v>
      </c>
    </row>
    <row r="158" spans="1:2" x14ac:dyDescent="0.3">
      <c r="A158" s="21" t="s">
        <v>26</v>
      </c>
      <c r="B158" s="1">
        <v>0.53</v>
      </c>
    </row>
    <row r="159" spans="1:2" x14ac:dyDescent="0.3">
      <c r="A159" s="21" t="s">
        <v>68</v>
      </c>
      <c r="B159" s="1">
        <v>0.52</v>
      </c>
    </row>
    <row r="160" spans="1:2" x14ac:dyDescent="0.3">
      <c r="A160" s="21" t="s">
        <v>36</v>
      </c>
      <c r="B160" s="1">
        <v>0.52</v>
      </c>
    </row>
    <row r="161" spans="1:2" x14ac:dyDescent="0.3">
      <c r="A161" s="21" t="s">
        <v>136</v>
      </c>
      <c r="B161" s="25">
        <v>0.55272727272727262</v>
      </c>
    </row>
    <row r="164" spans="1:2" x14ac:dyDescent="0.3">
      <c r="A164" s="20" t="s">
        <v>132</v>
      </c>
      <c r="B164" t="s">
        <v>145</v>
      </c>
    </row>
    <row r="165" spans="1:2" x14ac:dyDescent="0.3">
      <c r="A165" s="21" t="s">
        <v>133</v>
      </c>
      <c r="B165" s="25">
        <v>701.84210526315849</v>
      </c>
    </row>
    <row r="166" spans="1:2" x14ac:dyDescent="0.3">
      <c r="A166" s="21" t="s">
        <v>135</v>
      </c>
      <c r="B166" s="25">
        <v>453.15789473684202</v>
      </c>
    </row>
    <row r="167" spans="1:2" x14ac:dyDescent="0.3">
      <c r="A167" s="21" t="s">
        <v>134</v>
      </c>
      <c r="B167" s="25">
        <v>227.57894736842101</v>
      </c>
    </row>
    <row r="168" spans="1:2" x14ac:dyDescent="0.3">
      <c r="A168" s="21" t="s">
        <v>136</v>
      </c>
      <c r="B168" s="25">
        <v>1382.5789473684215</v>
      </c>
    </row>
    <row r="171" spans="1:2" x14ac:dyDescent="0.3">
      <c r="A171" s="20" t="s">
        <v>132</v>
      </c>
      <c r="B171" t="s">
        <v>145</v>
      </c>
    </row>
    <row r="172" spans="1:2" x14ac:dyDescent="0.3">
      <c r="A172" s="21" t="s">
        <v>141</v>
      </c>
      <c r="B172" s="25">
        <v>882.57894736842229</v>
      </c>
    </row>
    <row r="173" spans="1:2" x14ac:dyDescent="0.3">
      <c r="A173" s="21" t="s">
        <v>142</v>
      </c>
      <c r="B173" s="25">
        <v>331</v>
      </c>
    </row>
    <row r="174" spans="1:2" x14ac:dyDescent="0.3">
      <c r="A174" s="21" t="s">
        <v>143</v>
      </c>
      <c r="B174" s="25">
        <v>169</v>
      </c>
    </row>
    <row r="175" spans="1:2" x14ac:dyDescent="0.3">
      <c r="A175" s="21" t="s">
        <v>136</v>
      </c>
      <c r="B175" s="25">
        <v>1382.5789473684222</v>
      </c>
    </row>
    <row r="178" spans="1:2" x14ac:dyDescent="0.3">
      <c r="A178" s="20" t="s">
        <v>132</v>
      </c>
      <c r="B178" t="s">
        <v>144</v>
      </c>
    </row>
    <row r="179" spans="1:2" x14ac:dyDescent="0.3">
      <c r="A179" s="21" t="s">
        <v>141</v>
      </c>
      <c r="B179" s="25">
        <v>74</v>
      </c>
    </row>
    <row r="180" spans="1:2" x14ac:dyDescent="0.3">
      <c r="A180" s="21" t="s">
        <v>142</v>
      </c>
      <c r="B180" s="25">
        <v>23</v>
      </c>
    </row>
    <row r="181" spans="1:2" x14ac:dyDescent="0.3">
      <c r="A181" s="21" t="s">
        <v>143</v>
      </c>
      <c r="B181" s="25">
        <v>12</v>
      </c>
    </row>
    <row r="182" spans="1:2" x14ac:dyDescent="0.3">
      <c r="A182" s="21" t="s">
        <v>136</v>
      </c>
      <c r="B182" s="25">
        <v>109</v>
      </c>
    </row>
    <row r="185" spans="1:2" x14ac:dyDescent="0.3">
      <c r="A185" s="20" t="s">
        <v>132</v>
      </c>
      <c r="B185" t="s">
        <v>144</v>
      </c>
    </row>
    <row r="186" spans="1:2" x14ac:dyDescent="0.3">
      <c r="A186" s="21" t="s">
        <v>133</v>
      </c>
      <c r="B186" s="25">
        <v>59</v>
      </c>
    </row>
    <row r="187" spans="1:2" x14ac:dyDescent="0.3">
      <c r="A187" s="21" t="s">
        <v>135</v>
      </c>
      <c r="B187" s="25">
        <v>31</v>
      </c>
    </row>
    <row r="188" spans="1:2" x14ac:dyDescent="0.3">
      <c r="A188" s="21" t="s">
        <v>134</v>
      </c>
      <c r="B188" s="25">
        <v>19</v>
      </c>
    </row>
    <row r="189" spans="1:2" x14ac:dyDescent="0.3">
      <c r="A189" s="21" t="s">
        <v>136</v>
      </c>
      <c r="B189" s="25">
        <v>109</v>
      </c>
    </row>
    <row r="277" spans="1:3" x14ac:dyDescent="0.3">
      <c r="A277" s="20" t="s">
        <v>132</v>
      </c>
      <c r="B277" t="s">
        <v>145</v>
      </c>
      <c r="C277" t="s">
        <v>140</v>
      </c>
    </row>
    <row r="278" spans="1:3" x14ac:dyDescent="0.3">
      <c r="A278" s="21" t="s">
        <v>17</v>
      </c>
      <c r="B278" s="25">
        <v>39</v>
      </c>
      <c r="C278" s="23">
        <v>4.7</v>
      </c>
    </row>
    <row r="279" spans="1:3" x14ac:dyDescent="0.3">
      <c r="A279" s="21" t="s">
        <v>6</v>
      </c>
      <c r="B279" s="25">
        <v>2</v>
      </c>
      <c r="C279" s="23">
        <v>4.5</v>
      </c>
    </row>
    <row r="280" spans="1:3" x14ac:dyDescent="0.3">
      <c r="A280" s="21" t="s">
        <v>33</v>
      </c>
      <c r="B280" s="25">
        <v>13</v>
      </c>
      <c r="C280" s="23">
        <v>3.8</v>
      </c>
    </row>
    <row r="281" spans="1:3" x14ac:dyDescent="0.3">
      <c r="A281" s="21" t="s">
        <v>44</v>
      </c>
      <c r="B281" s="25">
        <v>2</v>
      </c>
      <c r="C281" s="23">
        <v>4.5</v>
      </c>
    </row>
    <row r="282" spans="1:3" x14ac:dyDescent="0.3">
      <c r="A282" s="21" t="s">
        <v>37</v>
      </c>
      <c r="B282" s="25">
        <v>12</v>
      </c>
      <c r="C282" s="23">
        <v>4.7</v>
      </c>
    </row>
    <row r="283" spans="1:3" x14ac:dyDescent="0.3">
      <c r="A283" s="21" t="s">
        <v>67</v>
      </c>
      <c r="B283" s="25">
        <v>69</v>
      </c>
      <c r="C283" s="23">
        <v>2.8</v>
      </c>
    </row>
    <row r="284" spans="1:3" x14ac:dyDescent="0.3">
      <c r="A284" s="21" t="s">
        <v>63</v>
      </c>
      <c r="B284" s="25">
        <v>12.684210526315789</v>
      </c>
      <c r="C284" s="23">
        <v>3.8894736842105258</v>
      </c>
    </row>
    <row r="285" spans="1:3" x14ac:dyDescent="0.3">
      <c r="A285" s="21" t="s">
        <v>15</v>
      </c>
      <c r="B285" s="25">
        <v>5</v>
      </c>
      <c r="C285" s="23">
        <v>3.8</v>
      </c>
    </row>
    <row r="286" spans="1:3" x14ac:dyDescent="0.3">
      <c r="A286" s="21" t="s">
        <v>12</v>
      </c>
      <c r="B286" s="25">
        <v>55</v>
      </c>
      <c r="C286" s="23">
        <v>4.5999999999999996</v>
      </c>
    </row>
    <row r="287" spans="1:3" x14ac:dyDescent="0.3">
      <c r="A287" s="21" t="s">
        <v>107</v>
      </c>
      <c r="B287" s="25">
        <v>12.684210526315789</v>
      </c>
      <c r="C287" s="23">
        <v>3.8894736842105258</v>
      </c>
    </row>
    <row r="288" spans="1:3" x14ac:dyDescent="0.3">
      <c r="A288" s="21" t="s">
        <v>86</v>
      </c>
      <c r="B288" s="25">
        <v>12.684210526315789</v>
      </c>
      <c r="C288" s="23">
        <v>3.8894736842105258</v>
      </c>
    </row>
    <row r="289" spans="1:3" x14ac:dyDescent="0.3">
      <c r="A289" s="21" t="s">
        <v>11</v>
      </c>
      <c r="B289" s="25">
        <v>15</v>
      </c>
      <c r="C289" s="23">
        <v>4</v>
      </c>
    </row>
    <row r="290" spans="1:3" x14ac:dyDescent="0.3">
      <c r="A290" s="21" t="s">
        <v>106</v>
      </c>
      <c r="B290" s="25">
        <v>12.684210526315789</v>
      </c>
      <c r="C290" s="23">
        <v>3.8894736842105258</v>
      </c>
    </row>
    <row r="291" spans="1:3" x14ac:dyDescent="0.3">
      <c r="A291" s="21" t="s">
        <v>97</v>
      </c>
      <c r="B291" s="25">
        <v>12.684210526315789</v>
      </c>
      <c r="C291" s="23">
        <v>3.8894736842105258</v>
      </c>
    </row>
    <row r="292" spans="1:3" x14ac:dyDescent="0.3">
      <c r="A292" s="21" t="s">
        <v>53</v>
      </c>
      <c r="B292" s="25">
        <v>12.684210526315789</v>
      </c>
      <c r="C292" s="23">
        <v>3.8894736842105258</v>
      </c>
    </row>
    <row r="293" spans="1:3" x14ac:dyDescent="0.3">
      <c r="A293" s="21" t="s">
        <v>79</v>
      </c>
      <c r="B293" s="25">
        <v>12.684210526315789</v>
      </c>
      <c r="C293" s="23">
        <v>3.8894736842105258</v>
      </c>
    </row>
    <row r="294" spans="1:3" x14ac:dyDescent="0.3">
      <c r="A294" s="21" t="s">
        <v>72</v>
      </c>
      <c r="B294" s="25">
        <v>5</v>
      </c>
      <c r="C294" s="23">
        <v>3</v>
      </c>
    </row>
    <row r="295" spans="1:3" x14ac:dyDescent="0.3">
      <c r="A295" s="21" t="s">
        <v>71</v>
      </c>
      <c r="B295" s="25">
        <v>7</v>
      </c>
      <c r="C295" s="23">
        <v>2.2999999999999998</v>
      </c>
    </row>
    <row r="296" spans="1:3" x14ac:dyDescent="0.3">
      <c r="A296" s="21" t="s">
        <v>25</v>
      </c>
      <c r="B296" s="25">
        <v>44</v>
      </c>
      <c r="C296" s="23">
        <v>4.5999999999999996</v>
      </c>
    </row>
    <row r="297" spans="1:3" x14ac:dyDescent="0.3">
      <c r="A297" s="21" t="s">
        <v>80</v>
      </c>
      <c r="B297" s="25">
        <v>12.684210526315789</v>
      </c>
      <c r="C297" s="23">
        <v>3.8894736842105258</v>
      </c>
    </row>
    <row r="298" spans="1:3" x14ac:dyDescent="0.3">
      <c r="A298" s="21" t="s">
        <v>26</v>
      </c>
      <c r="B298" s="25">
        <v>13</v>
      </c>
      <c r="C298" s="23">
        <v>3.3</v>
      </c>
    </row>
    <row r="299" spans="1:3" x14ac:dyDescent="0.3">
      <c r="A299" s="21" t="s">
        <v>100</v>
      </c>
      <c r="B299" s="25">
        <v>12.684210526315789</v>
      </c>
      <c r="C299" s="23">
        <v>3.8894736842105258</v>
      </c>
    </row>
    <row r="300" spans="1:3" x14ac:dyDescent="0.3">
      <c r="A300" s="21" t="s">
        <v>18</v>
      </c>
      <c r="B300" s="25">
        <v>12</v>
      </c>
      <c r="C300" s="23">
        <v>4.8</v>
      </c>
    </row>
    <row r="301" spans="1:3" x14ac:dyDescent="0.3">
      <c r="A301" s="21" t="s">
        <v>46</v>
      </c>
      <c r="B301" s="25">
        <v>12.684210526315789</v>
      </c>
      <c r="C301" s="23">
        <v>3.8894736842105258</v>
      </c>
    </row>
    <row r="302" spans="1:3" x14ac:dyDescent="0.3">
      <c r="A302" s="21" t="s">
        <v>27</v>
      </c>
      <c r="B302" s="25">
        <v>12.684210526315789</v>
      </c>
      <c r="C302" s="23">
        <v>3.8894736842105258</v>
      </c>
    </row>
    <row r="303" spans="1:3" x14ac:dyDescent="0.3">
      <c r="A303" s="21" t="s">
        <v>64</v>
      </c>
      <c r="B303" s="25">
        <v>6</v>
      </c>
      <c r="C303" s="23">
        <v>2.5</v>
      </c>
    </row>
    <row r="304" spans="1:3" x14ac:dyDescent="0.3">
      <c r="A304" s="21" t="s">
        <v>34</v>
      </c>
      <c r="B304" s="25">
        <v>20</v>
      </c>
      <c r="C304" s="23">
        <v>4.0999999999999996</v>
      </c>
    </row>
    <row r="305" spans="1:3" x14ac:dyDescent="0.3">
      <c r="A305" s="21" t="s">
        <v>40</v>
      </c>
      <c r="B305" s="25">
        <v>32</v>
      </c>
      <c r="C305" s="23">
        <v>4.5</v>
      </c>
    </row>
    <row r="306" spans="1:3" x14ac:dyDescent="0.3">
      <c r="A306" s="21" t="s">
        <v>39</v>
      </c>
      <c r="B306" s="25">
        <v>20</v>
      </c>
      <c r="C306" s="23">
        <v>4.7</v>
      </c>
    </row>
    <row r="307" spans="1:3" x14ac:dyDescent="0.3">
      <c r="A307" s="21" t="s">
        <v>85</v>
      </c>
      <c r="B307" s="25">
        <v>12.684210526315789</v>
      </c>
      <c r="C307" s="23">
        <v>3.8894736842105258</v>
      </c>
    </row>
    <row r="308" spans="1:3" x14ac:dyDescent="0.3">
      <c r="A308" s="21" t="s">
        <v>66</v>
      </c>
      <c r="B308" s="25">
        <v>13</v>
      </c>
      <c r="C308" s="23">
        <v>2.1</v>
      </c>
    </row>
    <row r="309" spans="1:3" x14ac:dyDescent="0.3">
      <c r="A309" s="21" t="s">
        <v>112</v>
      </c>
      <c r="B309" s="25">
        <v>12.684210526315789</v>
      </c>
      <c r="C309" s="23">
        <v>3.8894736842105258</v>
      </c>
    </row>
    <row r="310" spans="1:3" x14ac:dyDescent="0.3">
      <c r="A310" s="21" t="s">
        <v>96</v>
      </c>
      <c r="B310" s="25">
        <v>12.684210526315789</v>
      </c>
      <c r="C310" s="23">
        <v>3.8894736842105258</v>
      </c>
    </row>
    <row r="311" spans="1:3" x14ac:dyDescent="0.3">
      <c r="A311" s="21" t="s">
        <v>51</v>
      </c>
      <c r="B311" s="25">
        <v>12.684210526315789</v>
      </c>
      <c r="C311" s="23">
        <v>3.8894736842105258</v>
      </c>
    </row>
    <row r="312" spans="1:3" x14ac:dyDescent="0.3">
      <c r="A312" s="21" t="s">
        <v>82</v>
      </c>
      <c r="B312" s="25">
        <v>12.684210526315789</v>
      </c>
      <c r="C312" s="23">
        <v>3.8894736842105258</v>
      </c>
    </row>
    <row r="313" spans="1:3" x14ac:dyDescent="0.3">
      <c r="A313" s="21" t="s">
        <v>77</v>
      </c>
      <c r="B313" s="25">
        <v>6</v>
      </c>
      <c r="C313" s="23">
        <v>2.2000000000000002</v>
      </c>
    </row>
    <row r="314" spans="1:3" x14ac:dyDescent="0.3">
      <c r="A314" s="21" t="s">
        <v>103</v>
      </c>
      <c r="B314" s="25">
        <v>12.684210526315789</v>
      </c>
      <c r="C314" s="23">
        <v>3.8894736842105258</v>
      </c>
    </row>
    <row r="315" spans="1:3" x14ac:dyDescent="0.3">
      <c r="A315" s="21" t="s">
        <v>105</v>
      </c>
      <c r="B315" s="25">
        <v>12.684210526315789</v>
      </c>
      <c r="C315" s="23">
        <v>3.8894736842105258</v>
      </c>
    </row>
    <row r="316" spans="1:3" x14ac:dyDescent="0.3">
      <c r="A316" s="21" t="s">
        <v>73</v>
      </c>
      <c r="B316" s="25">
        <v>17</v>
      </c>
      <c r="C316" s="23">
        <v>2.6</v>
      </c>
    </row>
    <row r="317" spans="1:3" x14ac:dyDescent="0.3">
      <c r="A317" s="21" t="s">
        <v>62</v>
      </c>
      <c r="B317" s="25">
        <v>12.684210526315789</v>
      </c>
      <c r="C317" s="23">
        <v>3.8894736842105258</v>
      </c>
    </row>
    <row r="318" spans="1:3" x14ac:dyDescent="0.3">
      <c r="A318" s="21" t="s">
        <v>21</v>
      </c>
      <c r="B318" s="25">
        <v>2</v>
      </c>
      <c r="C318" s="23">
        <v>5</v>
      </c>
    </row>
    <row r="319" spans="1:3" x14ac:dyDescent="0.3">
      <c r="A319" s="21" t="s">
        <v>70</v>
      </c>
      <c r="B319" s="25">
        <v>6</v>
      </c>
      <c r="C319" s="23">
        <v>2.2000000000000002</v>
      </c>
    </row>
    <row r="320" spans="1:3" x14ac:dyDescent="0.3">
      <c r="A320" s="21" t="s">
        <v>102</v>
      </c>
      <c r="B320" s="25">
        <v>12.684210526315789</v>
      </c>
      <c r="C320" s="23">
        <v>3.8894736842105258</v>
      </c>
    </row>
    <row r="321" spans="1:3" x14ac:dyDescent="0.3">
      <c r="A321" s="21" t="s">
        <v>48</v>
      </c>
      <c r="B321" s="25">
        <v>12.684210526315789</v>
      </c>
      <c r="C321" s="23">
        <v>3.8894736842105258</v>
      </c>
    </row>
    <row r="322" spans="1:3" x14ac:dyDescent="0.3">
      <c r="A322" s="21" t="s">
        <v>84</v>
      </c>
      <c r="B322" s="25">
        <v>1</v>
      </c>
      <c r="C322" s="23">
        <v>5</v>
      </c>
    </row>
    <row r="323" spans="1:3" x14ac:dyDescent="0.3">
      <c r="A323" s="21" t="s">
        <v>114</v>
      </c>
      <c r="B323" s="25">
        <v>12.684210526315789</v>
      </c>
      <c r="C323" s="23">
        <v>3.8894736842105258</v>
      </c>
    </row>
    <row r="324" spans="1:3" x14ac:dyDescent="0.3">
      <c r="A324" s="21" t="s">
        <v>55</v>
      </c>
      <c r="B324" s="25">
        <v>12.684210526315789</v>
      </c>
      <c r="C324" s="23">
        <v>3.8894736842105258</v>
      </c>
    </row>
    <row r="325" spans="1:3" x14ac:dyDescent="0.3">
      <c r="A325" s="21" t="s">
        <v>52</v>
      </c>
      <c r="B325" s="25">
        <v>12.684210526315789</v>
      </c>
      <c r="C325" s="23">
        <v>3.8894736842105258</v>
      </c>
    </row>
    <row r="326" spans="1:3" x14ac:dyDescent="0.3">
      <c r="A326" s="21" t="s">
        <v>89</v>
      </c>
      <c r="B326" s="25">
        <v>12.684210526315789</v>
      </c>
      <c r="C326" s="23">
        <v>3.8894736842105258</v>
      </c>
    </row>
    <row r="327" spans="1:3" x14ac:dyDescent="0.3">
      <c r="A327" s="21" t="s">
        <v>109</v>
      </c>
      <c r="B327" s="25">
        <v>12.684210526315789</v>
      </c>
      <c r="C327" s="23">
        <v>3.8894736842105258</v>
      </c>
    </row>
    <row r="328" spans="1:3" x14ac:dyDescent="0.3">
      <c r="A328" s="21" t="s">
        <v>50</v>
      </c>
      <c r="B328" s="25">
        <v>12.684210526315789</v>
      </c>
      <c r="C328" s="23">
        <v>3.8894736842105258</v>
      </c>
    </row>
    <row r="329" spans="1:3" x14ac:dyDescent="0.3">
      <c r="A329" s="21" t="s">
        <v>61</v>
      </c>
      <c r="B329" s="25">
        <v>12.684210526315789</v>
      </c>
      <c r="C329" s="23">
        <v>3.8894736842105258</v>
      </c>
    </row>
    <row r="330" spans="1:3" x14ac:dyDescent="0.3">
      <c r="A330" s="21" t="s">
        <v>42</v>
      </c>
      <c r="B330" s="25">
        <v>2</v>
      </c>
      <c r="C330" s="23">
        <v>5</v>
      </c>
    </row>
    <row r="331" spans="1:3" x14ac:dyDescent="0.3">
      <c r="A331" s="21" t="s">
        <v>54</v>
      </c>
      <c r="B331" s="25">
        <v>12.684210526315789</v>
      </c>
      <c r="C331" s="23">
        <v>3.8894736842105258</v>
      </c>
    </row>
    <row r="332" spans="1:3" x14ac:dyDescent="0.3">
      <c r="A332" s="21" t="s">
        <v>81</v>
      </c>
      <c r="B332" s="25">
        <v>12.684210526315789</v>
      </c>
      <c r="C332" s="23">
        <v>3.8894736842105258</v>
      </c>
    </row>
    <row r="333" spans="1:3" x14ac:dyDescent="0.3">
      <c r="A333" s="21" t="s">
        <v>59</v>
      </c>
      <c r="B333" s="25">
        <v>12.684210526315789</v>
      </c>
      <c r="C333" s="23">
        <v>3.8894736842105258</v>
      </c>
    </row>
    <row r="334" spans="1:3" x14ac:dyDescent="0.3">
      <c r="A334" s="21" t="s">
        <v>13</v>
      </c>
      <c r="B334" s="25">
        <v>2</v>
      </c>
      <c r="C334" s="23">
        <v>4</v>
      </c>
    </row>
    <row r="335" spans="1:3" x14ac:dyDescent="0.3">
      <c r="A335" s="21" t="s">
        <v>41</v>
      </c>
      <c r="B335" s="25">
        <v>1</v>
      </c>
      <c r="C335" s="23">
        <v>5</v>
      </c>
    </row>
    <row r="336" spans="1:3" x14ac:dyDescent="0.3">
      <c r="A336" s="21" t="s">
        <v>78</v>
      </c>
      <c r="B336" s="25">
        <v>7</v>
      </c>
      <c r="C336" s="23">
        <v>2.1</v>
      </c>
    </row>
    <row r="337" spans="1:3" x14ac:dyDescent="0.3">
      <c r="A337" s="21" t="s">
        <v>31</v>
      </c>
      <c r="B337" s="25">
        <v>49</v>
      </c>
      <c r="C337" s="23">
        <v>4.5999999999999996</v>
      </c>
    </row>
    <row r="338" spans="1:3" x14ac:dyDescent="0.3">
      <c r="A338" s="21" t="s">
        <v>36</v>
      </c>
      <c r="B338" s="25">
        <v>9</v>
      </c>
      <c r="C338" s="23">
        <v>4.3</v>
      </c>
    </row>
    <row r="339" spans="1:3" x14ac:dyDescent="0.3">
      <c r="A339" s="21" t="s">
        <v>29</v>
      </c>
      <c r="B339" s="25">
        <v>14</v>
      </c>
      <c r="C339" s="23">
        <v>4.4000000000000004</v>
      </c>
    </row>
    <row r="340" spans="1:3" x14ac:dyDescent="0.3">
      <c r="A340" s="21" t="s">
        <v>16</v>
      </c>
      <c r="B340" s="25">
        <v>12</v>
      </c>
      <c r="C340" s="23">
        <v>4.0999999999999996</v>
      </c>
    </row>
    <row r="341" spans="1:3" x14ac:dyDescent="0.3">
      <c r="A341" s="21" t="s">
        <v>87</v>
      </c>
      <c r="B341" s="25">
        <v>1</v>
      </c>
      <c r="C341" s="23">
        <v>4</v>
      </c>
    </row>
    <row r="342" spans="1:3" x14ac:dyDescent="0.3">
      <c r="A342" s="21" t="s">
        <v>68</v>
      </c>
      <c r="B342" s="25">
        <v>15</v>
      </c>
      <c r="C342" s="23">
        <v>2.7</v>
      </c>
    </row>
    <row r="343" spans="1:3" x14ac:dyDescent="0.3">
      <c r="A343" s="21" t="s">
        <v>104</v>
      </c>
      <c r="B343" s="25">
        <v>1</v>
      </c>
      <c r="C343" s="23">
        <v>5</v>
      </c>
    </row>
    <row r="344" spans="1:3" x14ac:dyDescent="0.3">
      <c r="A344" s="21" t="s">
        <v>74</v>
      </c>
      <c r="B344" s="25">
        <v>5</v>
      </c>
      <c r="C344" s="23">
        <v>3</v>
      </c>
    </row>
    <row r="345" spans="1:3" x14ac:dyDescent="0.3">
      <c r="A345" s="21" t="s">
        <v>30</v>
      </c>
      <c r="B345" s="25">
        <v>7</v>
      </c>
      <c r="C345" s="23">
        <v>4.3</v>
      </c>
    </row>
    <row r="346" spans="1:3" x14ac:dyDescent="0.3">
      <c r="A346" s="21" t="s">
        <v>23</v>
      </c>
      <c r="B346" s="25">
        <v>3</v>
      </c>
      <c r="C346" s="23">
        <v>5</v>
      </c>
    </row>
    <row r="347" spans="1:3" x14ac:dyDescent="0.3">
      <c r="A347" s="21" t="s">
        <v>19</v>
      </c>
      <c r="B347" s="25">
        <v>6</v>
      </c>
      <c r="C347" s="23">
        <v>4.5</v>
      </c>
    </row>
    <row r="348" spans="1:3" x14ac:dyDescent="0.3">
      <c r="A348" s="21" t="s">
        <v>14</v>
      </c>
      <c r="B348" s="25">
        <v>5</v>
      </c>
      <c r="C348" s="23">
        <v>4.8</v>
      </c>
    </row>
    <row r="349" spans="1:3" x14ac:dyDescent="0.3">
      <c r="A349" s="21" t="s">
        <v>45</v>
      </c>
      <c r="B349" s="25">
        <v>12.684210526315789</v>
      </c>
      <c r="C349" s="23">
        <v>3.8894736842105258</v>
      </c>
    </row>
    <row r="350" spans="1:3" x14ac:dyDescent="0.3">
      <c r="A350" s="21" t="s">
        <v>38</v>
      </c>
      <c r="B350" s="25">
        <v>9</v>
      </c>
      <c r="C350" s="23">
        <v>4.3</v>
      </c>
    </row>
    <row r="351" spans="1:3" x14ac:dyDescent="0.3">
      <c r="A351" s="21" t="s">
        <v>28</v>
      </c>
      <c r="B351" s="25">
        <v>6</v>
      </c>
      <c r="C351" s="23">
        <v>4</v>
      </c>
    </row>
    <row r="352" spans="1:3" x14ac:dyDescent="0.3">
      <c r="A352" s="21" t="s">
        <v>108</v>
      </c>
      <c r="B352" s="25">
        <v>12.684210526315789</v>
      </c>
      <c r="C352" s="23">
        <v>3.8894736842105258</v>
      </c>
    </row>
    <row r="353" spans="1:3" x14ac:dyDescent="0.3">
      <c r="A353" s="21" t="s">
        <v>24</v>
      </c>
      <c r="B353" s="25">
        <v>5</v>
      </c>
      <c r="C353" s="23">
        <v>4.5999999999999996</v>
      </c>
    </row>
    <row r="354" spans="1:3" x14ac:dyDescent="0.3">
      <c r="A354" s="21" t="s">
        <v>83</v>
      </c>
      <c r="B354" s="25">
        <v>1</v>
      </c>
      <c r="C354" s="23">
        <v>3</v>
      </c>
    </row>
    <row r="355" spans="1:3" x14ac:dyDescent="0.3">
      <c r="A355" s="21" t="s">
        <v>7</v>
      </c>
      <c r="B355" s="25">
        <v>14</v>
      </c>
      <c r="C355" s="23">
        <v>4.0999999999999996</v>
      </c>
    </row>
    <row r="356" spans="1:3" x14ac:dyDescent="0.3">
      <c r="A356" s="21" t="s">
        <v>101</v>
      </c>
      <c r="B356" s="25">
        <v>12.684210526315789</v>
      </c>
      <c r="C356" s="23">
        <v>3.8894736842105258</v>
      </c>
    </row>
    <row r="357" spans="1:3" x14ac:dyDescent="0.3">
      <c r="A357" s="21" t="s">
        <v>47</v>
      </c>
      <c r="B357" s="25">
        <v>12.684210526315789</v>
      </c>
      <c r="C357" s="23">
        <v>3.8894736842105258</v>
      </c>
    </row>
    <row r="358" spans="1:3" x14ac:dyDescent="0.3">
      <c r="A358" s="21" t="s">
        <v>20</v>
      </c>
      <c r="B358" s="25">
        <v>9</v>
      </c>
      <c r="C358" s="23">
        <v>4.2</v>
      </c>
    </row>
    <row r="359" spans="1:3" x14ac:dyDescent="0.3">
      <c r="A359" s="21" t="s">
        <v>92</v>
      </c>
      <c r="B359" s="25">
        <v>12.684210526315789</v>
      </c>
      <c r="C359" s="23">
        <v>3.8894736842105258</v>
      </c>
    </row>
    <row r="360" spans="1:3" x14ac:dyDescent="0.3">
      <c r="A360" s="21" t="s">
        <v>35</v>
      </c>
      <c r="B360" s="25">
        <v>12.684210526315789</v>
      </c>
      <c r="C360" s="23">
        <v>3.8894736842105258</v>
      </c>
    </row>
    <row r="361" spans="1:3" x14ac:dyDescent="0.3">
      <c r="A361" s="21" t="s">
        <v>58</v>
      </c>
      <c r="B361" s="25">
        <v>12.684210526315789</v>
      </c>
      <c r="C361" s="23">
        <v>3.8894736842105258</v>
      </c>
    </row>
    <row r="362" spans="1:3" x14ac:dyDescent="0.3">
      <c r="A362" s="21" t="s">
        <v>65</v>
      </c>
      <c r="B362" s="25">
        <v>10</v>
      </c>
      <c r="C362" s="23">
        <v>3</v>
      </c>
    </row>
    <row r="363" spans="1:3" x14ac:dyDescent="0.3">
      <c r="A363" s="21" t="s">
        <v>88</v>
      </c>
      <c r="B363" s="25">
        <v>12.684210526315789</v>
      </c>
      <c r="C363" s="23">
        <v>3.8894736842105258</v>
      </c>
    </row>
    <row r="364" spans="1:3" x14ac:dyDescent="0.3">
      <c r="A364" s="21" t="s">
        <v>90</v>
      </c>
      <c r="B364" s="25">
        <v>12.684210526315789</v>
      </c>
      <c r="C364" s="23">
        <v>3.8894736842105258</v>
      </c>
    </row>
    <row r="365" spans="1:3" x14ac:dyDescent="0.3">
      <c r="A365" s="21" t="s">
        <v>22</v>
      </c>
      <c r="B365" s="25">
        <v>2</v>
      </c>
      <c r="C365" s="23">
        <v>5</v>
      </c>
    </row>
    <row r="366" spans="1:3" x14ac:dyDescent="0.3">
      <c r="A366" s="21" t="s">
        <v>56</v>
      </c>
      <c r="B366" s="25">
        <v>12.684210526315789</v>
      </c>
      <c r="C366" s="23">
        <v>3.8894736842105258</v>
      </c>
    </row>
    <row r="367" spans="1:3" x14ac:dyDescent="0.3">
      <c r="A367" s="21" t="s">
        <v>57</v>
      </c>
      <c r="B367" s="25">
        <v>12.684210526315789</v>
      </c>
      <c r="C367" s="23">
        <v>3.8894736842105258</v>
      </c>
    </row>
    <row r="368" spans="1:3" x14ac:dyDescent="0.3">
      <c r="A368" s="21" t="s">
        <v>10</v>
      </c>
      <c r="B368" s="25">
        <v>5</v>
      </c>
      <c r="C368" s="23">
        <v>4.8</v>
      </c>
    </row>
    <row r="369" spans="1:3" x14ac:dyDescent="0.3">
      <c r="A369" s="21" t="s">
        <v>8</v>
      </c>
      <c r="B369" s="25">
        <v>24</v>
      </c>
      <c r="C369" s="23">
        <v>4.5999999999999996</v>
      </c>
    </row>
    <row r="370" spans="1:3" x14ac:dyDescent="0.3">
      <c r="A370" s="21" t="s">
        <v>99</v>
      </c>
      <c r="B370" s="25">
        <v>12.684210526315789</v>
      </c>
      <c r="C370" s="23">
        <v>3.8894736842105258</v>
      </c>
    </row>
    <row r="371" spans="1:3" x14ac:dyDescent="0.3">
      <c r="A371" s="21" t="s">
        <v>32</v>
      </c>
      <c r="B371" s="25">
        <v>12</v>
      </c>
      <c r="C371" s="23">
        <v>3.8</v>
      </c>
    </row>
    <row r="372" spans="1:3" x14ac:dyDescent="0.3">
      <c r="A372" s="21" t="s">
        <v>94</v>
      </c>
      <c r="B372" s="25">
        <v>12.684210526315789</v>
      </c>
      <c r="C372" s="23">
        <v>3.8894736842105258</v>
      </c>
    </row>
    <row r="373" spans="1:3" x14ac:dyDescent="0.3">
      <c r="A373" s="21" t="s">
        <v>43</v>
      </c>
      <c r="B373" s="25">
        <v>36</v>
      </c>
      <c r="C373" s="23">
        <v>4.3</v>
      </c>
    </row>
    <row r="374" spans="1:3" x14ac:dyDescent="0.3">
      <c r="A374" s="21" t="s">
        <v>95</v>
      </c>
      <c r="B374" s="25">
        <v>12.684210526315789</v>
      </c>
      <c r="C374" s="23">
        <v>3.8894736842105258</v>
      </c>
    </row>
    <row r="375" spans="1:3" x14ac:dyDescent="0.3">
      <c r="A375" s="21" t="s">
        <v>49</v>
      </c>
      <c r="B375" s="25">
        <v>12.684210526315789</v>
      </c>
      <c r="C375" s="23">
        <v>3.8894736842105258</v>
      </c>
    </row>
    <row r="376" spans="1:3" x14ac:dyDescent="0.3">
      <c r="A376" s="21" t="s">
        <v>110</v>
      </c>
      <c r="B376" s="25">
        <v>12.684210526315789</v>
      </c>
      <c r="C376" s="23">
        <v>3.8894736842105258</v>
      </c>
    </row>
    <row r="377" spans="1:3" x14ac:dyDescent="0.3">
      <c r="A377" s="21" t="s">
        <v>60</v>
      </c>
      <c r="B377" s="25">
        <v>12.684210526315789</v>
      </c>
      <c r="C377" s="23">
        <v>3.8894736842105258</v>
      </c>
    </row>
    <row r="378" spans="1:3" x14ac:dyDescent="0.3">
      <c r="A378" s="21" t="s">
        <v>111</v>
      </c>
      <c r="B378" s="25">
        <v>12.684210526315789</v>
      </c>
      <c r="C378" s="23">
        <v>3.8894736842105258</v>
      </c>
    </row>
    <row r="379" spans="1:3" x14ac:dyDescent="0.3">
      <c r="A379" s="21" t="s">
        <v>69</v>
      </c>
      <c r="B379" s="25">
        <v>16</v>
      </c>
      <c r="C379" s="23">
        <v>2.9</v>
      </c>
    </row>
    <row r="380" spans="1:3" x14ac:dyDescent="0.3">
      <c r="A380" s="21" t="s">
        <v>93</v>
      </c>
      <c r="B380" s="25">
        <v>12.684210526315789</v>
      </c>
      <c r="C380" s="23">
        <v>3.8894736842105258</v>
      </c>
    </row>
    <row r="381" spans="1:3" x14ac:dyDescent="0.3">
      <c r="A381" s="21" t="s">
        <v>98</v>
      </c>
      <c r="B381" s="25">
        <v>12.684210526315789</v>
      </c>
      <c r="C381" s="23">
        <v>3.8894736842105258</v>
      </c>
    </row>
    <row r="382" spans="1:3" x14ac:dyDescent="0.3">
      <c r="A382" s="21" t="s">
        <v>113</v>
      </c>
      <c r="B382" s="25">
        <v>1</v>
      </c>
      <c r="C382" s="23">
        <v>2</v>
      </c>
    </row>
    <row r="383" spans="1:3" x14ac:dyDescent="0.3">
      <c r="A383" s="21" t="s">
        <v>91</v>
      </c>
      <c r="B383" s="25">
        <v>12.684210526315789</v>
      </c>
      <c r="C383" s="23">
        <v>3.8894736842105258</v>
      </c>
    </row>
    <row r="384" spans="1:3" x14ac:dyDescent="0.3">
      <c r="A384" s="21" t="s">
        <v>75</v>
      </c>
      <c r="B384" s="25">
        <v>6</v>
      </c>
      <c r="C384" s="23">
        <v>2.2999999999999998</v>
      </c>
    </row>
    <row r="385" spans="1:3" x14ac:dyDescent="0.3">
      <c r="A385" s="21" t="s">
        <v>9</v>
      </c>
      <c r="B385" s="25">
        <v>7</v>
      </c>
      <c r="C385" s="23">
        <v>4.7</v>
      </c>
    </row>
    <row r="386" spans="1:3" x14ac:dyDescent="0.3">
      <c r="A386" s="21" t="s">
        <v>76</v>
      </c>
      <c r="B386" s="25">
        <v>5</v>
      </c>
      <c r="C386" s="23">
        <v>3</v>
      </c>
    </row>
    <row r="387" spans="1:3" x14ac:dyDescent="0.3">
      <c r="A387" s="21" t="s">
        <v>136</v>
      </c>
      <c r="B387" s="25">
        <v>1382.5789473684229</v>
      </c>
      <c r="C387" s="23">
        <v>3.8894736842105284</v>
      </c>
    </row>
    <row r="390" spans="1:3" x14ac:dyDescent="0.3">
      <c r="A390" s="20" t="s">
        <v>132</v>
      </c>
      <c r="B390" t="s">
        <v>144</v>
      </c>
    </row>
    <row r="391" spans="1:3" x14ac:dyDescent="0.3">
      <c r="A391" s="21" t="s">
        <v>141</v>
      </c>
      <c r="B391" s="25">
        <v>74</v>
      </c>
    </row>
    <row r="392" spans="1:3" x14ac:dyDescent="0.3">
      <c r="A392" s="21" t="s">
        <v>142</v>
      </c>
      <c r="B392" s="25">
        <v>23</v>
      </c>
    </row>
    <row r="393" spans="1:3" x14ac:dyDescent="0.3">
      <c r="A393" s="21" t="s">
        <v>143</v>
      </c>
      <c r="B393" s="25">
        <v>12</v>
      </c>
    </row>
    <row r="394" spans="1:3" x14ac:dyDescent="0.3">
      <c r="A394" s="21" t="s">
        <v>136</v>
      </c>
      <c r="B394" s="25">
        <v>109</v>
      </c>
    </row>
    <row r="397" spans="1:3" x14ac:dyDescent="0.3">
      <c r="A397" s="20" t="s">
        <v>132</v>
      </c>
      <c r="B397" t="s">
        <v>144</v>
      </c>
    </row>
    <row r="398" spans="1:3" x14ac:dyDescent="0.3">
      <c r="A398" s="21" t="s">
        <v>133</v>
      </c>
      <c r="B398" s="25">
        <v>59</v>
      </c>
    </row>
    <row r="399" spans="1:3" x14ac:dyDescent="0.3">
      <c r="A399" s="21" t="s">
        <v>134</v>
      </c>
      <c r="B399" s="25">
        <v>19</v>
      </c>
    </row>
    <row r="400" spans="1:3" x14ac:dyDescent="0.3">
      <c r="A400" s="21" t="s">
        <v>135</v>
      </c>
      <c r="B400" s="25">
        <v>31</v>
      </c>
    </row>
    <row r="401" spans="1:2" x14ac:dyDescent="0.3">
      <c r="A401" s="21" t="s">
        <v>136</v>
      </c>
      <c r="B401" s="25">
        <v>109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showGridLines="0" tabSelected="1" workbookViewId="0">
      <selection activeCell="A26" sqref="A26"/>
    </sheetView>
  </sheetViews>
  <sheetFormatPr defaultRowHeight="14.4" x14ac:dyDescent="0.3"/>
  <cols>
    <col min="1" max="3" width="8.88671875" style="28"/>
    <col min="4" max="4" width="18.109375" style="28" bestFit="1" customWidth="1"/>
    <col min="5" max="5" width="13.21875" style="28" bestFit="1" customWidth="1"/>
    <col min="6" max="6" width="17.21875" style="28" bestFit="1" customWidth="1"/>
    <col min="7" max="7" width="17.6640625" style="28" bestFit="1" customWidth="1"/>
    <col min="8" max="10" width="8.88671875" style="28"/>
    <col min="11" max="11" width="22.6640625" style="28" bestFit="1" customWidth="1"/>
    <col min="12" max="12" width="5.33203125" style="28" customWidth="1"/>
    <col min="13" max="13" width="17.33203125" style="28" bestFit="1" customWidth="1"/>
    <col min="14" max="14" width="6.109375" style="28" customWidth="1"/>
    <col min="15" max="15" width="22.44140625" style="28" bestFit="1" customWidth="1"/>
    <col min="16" max="16" width="4.109375" style="28" customWidth="1"/>
    <col min="17" max="17" width="22.33203125" style="28" bestFit="1" customWidth="1"/>
    <col min="18" max="16384" width="8.88671875" style="28"/>
  </cols>
  <sheetData>
    <row r="1" spans="1:21" x14ac:dyDescent="0.3">
      <c r="A1" s="35" t="s">
        <v>150</v>
      </c>
      <c r="B1" s="35"/>
      <c r="C1" s="35"/>
      <c r="D1" s="35"/>
      <c r="E1" s="35"/>
      <c r="F1" s="35"/>
      <c r="G1" s="35"/>
      <c r="H1" s="35"/>
      <c r="I1" s="35"/>
      <c r="J1" s="35"/>
      <c r="K1" s="35"/>
      <c r="L1" s="35"/>
      <c r="M1" s="35"/>
      <c r="N1" s="35"/>
      <c r="O1" s="35"/>
      <c r="P1" s="35"/>
      <c r="Q1" s="35"/>
      <c r="R1" s="35"/>
      <c r="S1" s="35"/>
      <c r="T1" s="35"/>
      <c r="U1" s="35"/>
    </row>
    <row r="2" spans="1:21" x14ac:dyDescent="0.3">
      <c r="A2" s="35"/>
      <c r="B2" s="35"/>
      <c r="C2" s="35"/>
      <c r="D2" s="35"/>
      <c r="E2" s="35"/>
      <c r="F2" s="35"/>
      <c r="G2" s="35"/>
      <c r="H2" s="35"/>
      <c r="I2" s="35"/>
      <c r="J2" s="35"/>
      <c r="K2" s="35"/>
      <c r="L2" s="35"/>
      <c r="M2" s="35"/>
      <c r="N2" s="35"/>
      <c r="O2" s="35"/>
      <c r="P2" s="35"/>
      <c r="Q2" s="35"/>
      <c r="R2" s="35"/>
      <c r="S2" s="35"/>
      <c r="T2" s="35"/>
      <c r="U2" s="35"/>
    </row>
    <row r="3" spans="1:21" x14ac:dyDescent="0.3">
      <c r="A3" s="35"/>
      <c r="B3" s="35"/>
      <c r="C3" s="35"/>
      <c r="D3" s="35"/>
      <c r="E3" s="35"/>
      <c r="F3" s="35"/>
      <c r="G3" s="35"/>
      <c r="H3" s="35"/>
      <c r="I3" s="35"/>
      <c r="J3" s="35"/>
      <c r="K3" s="35"/>
      <c r="L3" s="35"/>
      <c r="M3" s="35"/>
      <c r="N3" s="35"/>
      <c r="O3" s="35"/>
      <c r="P3" s="35"/>
      <c r="Q3" s="35"/>
      <c r="R3" s="35"/>
      <c r="S3" s="35"/>
      <c r="T3" s="35"/>
      <c r="U3" s="35"/>
    </row>
    <row r="5" spans="1:21" ht="18" x14ac:dyDescent="0.35">
      <c r="K5" s="31" t="s">
        <v>146</v>
      </c>
      <c r="L5" s="31"/>
      <c r="M5" s="31" t="s">
        <v>147</v>
      </c>
      <c r="N5" s="31"/>
      <c r="O5" s="31" t="s">
        <v>148</v>
      </c>
      <c r="P5" s="31"/>
      <c r="Q5" s="31" t="s">
        <v>149</v>
      </c>
    </row>
    <row r="6" spans="1:21" ht="18" x14ac:dyDescent="0.35">
      <c r="K6" s="31">
        <f>Sheet1!$E$3</f>
        <v>109</v>
      </c>
      <c r="L6" s="31"/>
      <c r="M6" s="32">
        <f>Sheet1!$E$7</f>
        <v>3.8894736842105289</v>
      </c>
      <c r="N6" s="31"/>
      <c r="O6" s="33">
        <f>Sheet1!$E$11</f>
        <v>0.3647706422018348</v>
      </c>
      <c r="P6" s="31"/>
      <c r="Q6" s="34">
        <f>Sheet1!$E$15</f>
        <v>1382.5789473684233</v>
      </c>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0"/>
  <sheetViews>
    <sheetView zoomScale="80" zoomScaleNormal="80" workbookViewId="0">
      <pane ySplit="1" topLeftCell="A2" activePane="bottomLeft" state="frozen"/>
      <selection pane="bottomLeft" activeCell="B32" sqref="B32"/>
    </sheetView>
  </sheetViews>
  <sheetFormatPr defaultRowHeight="13.8" x14ac:dyDescent="0.3"/>
  <cols>
    <col min="1" max="1" width="87.88671875" style="11" bestFit="1" customWidth="1"/>
    <col min="2" max="2" width="18.33203125" style="19" bestFit="1" customWidth="1"/>
    <col min="3" max="3" width="18.33203125" style="11" bestFit="1" customWidth="1"/>
    <col min="4" max="4" width="10.21875" style="11" customWidth="1"/>
    <col min="5" max="5" width="9.77734375" style="14" customWidth="1"/>
    <col min="6" max="6" width="10.44140625" style="15" bestFit="1" customWidth="1"/>
    <col min="7" max="7" width="22.5546875" style="11" customWidth="1"/>
    <col min="8" max="8" width="16.21875" style="11" bestFit="1" customWidth="1"/>
    <col min="9" max="9" width="18.21875" style="11" bestFit="1" customWidth="1"/>
    <col min="10" max="11" width="8.88671875" style="11"/>
    <col min="12" max="12" width="14.6640625" style="11" bestFit="1" customWidth="1"/>
    <col min="13" max="13" width="18.33203125" style="19" bestFit="1" customWidth="1"/>
    <col min="14" max="14" width="20.88671875" style="11" bestFit="1" customWidth="1"/>
    <col min="15" max="15" width="10.21875" style="11" bestFit="1" customWidth="1"/>
    <col min="16" max="16" width="18.33203125" style="11" bestFit="1" customWidth="1"/>
    <col min="17" max="17" width="10.109375" style="11" bestFit="1" customWidth="1"/>
    <col min="18" max="16384" width="8.88671875" style="11"/>
  </cols>
  <sheetData>
    <row r="1" spans="1:17" s="7" customFormat="1" x14ac:dyDescent="0.3">
      <c r="A1" s="7" t="s">
        <v>0</v>
      </c>
      <c r="B1" s="8" t="s">
        <v>1</v>
      </c>
      <c r="C1" s="7" t="s">
        <v>2</v>
      </c>
      <c r="D1" s="7" t="s">
        <v>3</v>
      </c>
      <c r="E1" s="9" t="s">
        <v>4</v>
      </c>
      <c r="F1" s="10" t="s">
        <v>131</v>
      </c>
      <c r="G1" s="7" t="s">
        <v>122</v>
      </c>
      <c r="H1" s="7" t="s">
        <v>123</v>
      </c>
      <c r="I1" s="7" t="s">
        <v>124</v>
      </c>
      <c r="L1" s="7" t="s">
        <v>125</v>
      </c>
      <c r="M1" s="7" t="s">
        <v>126</v>
      </c>
      <c r="N1" s="7" t="s">
        <v>127</v>
      </c>
      <c r="O1" s="7" t="s">
        <v>128</v>
      </c>
      <c r="P1" s="7" t="s">
        <v>129</v>
      </c>
      <c r="Q1" s="7" t="s">
        <v>130</v>
      </c>
    </row>
    <row r="2" spans="1:17" x14ac:dyDescent="0.3">
      <c r="A2" s="11" t="s">
        <v>6</v>
      </c>
      <c r="B2" s="11">
        <v>950</v>
      </c>
      <c r="C2" s="12">
        <v>1525</v>
      </c>
      <c r="D2" s="13">
        <v>0.38</v>
      </c>
      <c r="E2" s="14">
        <v>2</v>
      </c>
      <c r="F2" s="15">
        <v>4.5</v>
      </c>
      <c r="G2" s="12">
        <f>C2-B2</f>
        <v>575</v>
      </c>
      <c r="H2" s="11" t="str">
        <f>IF(F2&gt;=4.5,"Excelent",IF(F2&gt;=3,"Average","Poor"))</f>
        <v>Excelent</v>
      </c>
      <c r="I2" s="11" t="str">
        <f>IF(Table1[[#This Row],[Discount]]&gt;40%,"High",IF(Table1[[#This Row],[Discount]]&gt;20%,"Medium","Low"))</f>
        <v>Medium</v>
      </c>
      <c r="K2" s="11" t="str">
        <f>IF(Table1[[#This Row],[Discount]]&gt;40%,"High",IF(Table1[[#This Row],[Discount]]&gt;=20%,"Medium","Low"))</f>
        <v>Medium</v>
      </c>
      <c r="L2" s="14">
        <f>AVERAGE(Table1[Current price])</f>
        <v>1205.6880733944954</v>
      </c>
      <c r="M2" s="14">
        <f>AVERAGE(Table1[old price])</f>
        <v>1833.1284403669724</v>
      </c>
      <c r="N2" s="16">
        <f>AVERAGE(Table1[Discount])</f>
        <v>0.3647706422018348</v>
      </c>
      <c r="O2" s="17">
        <f>AVERAGE(Table1[Rating])</f>
        <v>3.8894736842105289</v>
      </c>
      <c r="P2" s="18">
        <f>MAX(B:B)</f>
        <v>3750</v>
      </c>
      <c r="Q2" s="18">
        <f>MIN(B:B)</f>
        <v>38</v>
      </c>
    </row>
    <row r="3" spans="1:17" x14ac:dyDescent="0.3">
      <c r="A3" s="11" t="s">
        <v>7</v>
      </c>
      <c r="B3" s="11">
        <v>527</v>
      </c>
      <c r="C3" s="11">
        <v>999</v>
      </c>
      <c r="D3" s="13">
        <v>0.47</v>
      </c>
      <c r="E3" s="14">
        <v>14</v>
      </c>
      <c r="F3" s="15">
        <v>4.0999999999999996</v>
      </c>
      <c r="G3" s="12">
        <f t="shared" ref="G3:G64" si="0">C3-B3</f>
        <v>472</v>
      </c>
      <c r="H3" s="11" t="str">
        <f t="shared" ref="H3:H64" si="1">IF(F3&gt;=4.5,"Excelent",IF(F3&gt;=3,"Average","Poor"))</f>
        <v>Average</v>
      </c>
      <c r="I3" s="11" t="str">
        <f>IF(Table1[[#This Row],[Discount]]&gt;40%,"High",IF(Table1[[#This Row],[Discount]]&gt;20%,"Medium","Low"))</f>
        <v>High</v>
      </c>
    </row>
    <row r="4" spans="1:17" x14ac:dyDescent="0.3">
      <c r="A4" s="11" t="s">
        <v>8</v>
      </c>
      <c r="B4" s="12">
        <v>2199</v>
      </c>
      <c r="C4" s="12">
        <v>2923</v>
      </c>
      <c r="D4" s="13">
        <v>0.25</v>
      </c>
      <c r="E4" s="14">
        <v>24</v>
      </c>
      <c r="F4" s="15">
        <v>4.5999999999999996</v>
      </c>
      <c r="G4" s="12">
        <f t="shared" si="0"/>
        <v>724</v>
      </c>
      <c r="H4" s="11" t="str">
        <f t="shared" si="1"/>
        <v>Excelent</v>
      </c>
      <c r="I4" s="11" t="str">
        <f>IF(Table1[[#This Row],[Discount]]&gt;40%,"High",IF(Table1[[#This Row],[Discount]]&gt;20%,"Medium","Low"))</f>
        <v>Medium</v>
      </c>
      <c r="N4" s="12"/>
      <c r="Q4" s="12"/>
    </row>
    <row r="5" spans="1:17" x14ac:dyDescent="0.3">
      <c r="A5" s="11" t="s">
        <v>9</v>
      </c>
      <c r="B5" s="12">
        <v>1580</v>
      </c>
      <c r="C5" s="12">
        <v>2499</v>
      </c>
      <c r="D5" s="13">
        <v>0.37</v>
      </c>
      <c r="E5" s="14">
        <v>7</v>
      </c>
      <c r="F5" s="15">
        <v>4.7</v>
      </c>
      <c r="G5" s="12">
        <f t="shared" si="0"/>
        <v>919</v>
      </c>
      <c r="H5" s="11" t="str">
        <f t="shared" si="1"/>
        <v>Excelent</v>
      </c>
      <c r="I5" s="11" t="str">
        <f>IF(Table1[[#This Row],[Discount]]&gt;40%,"High",IF(Table1[[#This Row],[Discount]]&gt;20%,"Medium","Low"))</f>
        <v>Medium</v>
      </c>
      <c r="M5" s="11"/>
      <c r="N5" s="12"/>
      <c r="Q5" s="12"/>
    </row>
    <row r="6" spans="1:17" x14ac:dyDescent="0.3">
      <c r="A6" s="11" t="s">
        <v>10</v>
      </c>
      <c r="B6" s="12">
        <v>1740</v>
      </c>
      <c r="C6" s="12">
        <v>2356</v>
      </c>
      <c r="D6" s="13">
        <v>0.26</v>
      </c>
      <c r="E6" s="14">
        <v>5</v>
      </c>
      <c r="F6" s="15">
        <v>4.8</v>
      </c>
      <c r="G6" s="12">
        <f t="shared" si="0"/>
        <v>616</v>
      </c>
      <c r="H6" s="11" t="str">
        <f t="shared" si="1"/>
        <v>Excelent</v>
      </c>
      <c r="I6" s="11" t="str">
        <f>IF(Table1[[#This Row],[Discount]]&gt;40%,"High",IF(Table1[[#This Row],[Discount]]&gt;20%,"Medium","Low"))</f>
        <v>Medium</v>
      </c>
      <c r="N6" s="12"/>
      <c r="Q6" s="12"/>
    </row>
    <row r="7" spans="1:17" x14ac:dyDescent="0.3">
      <c r="A7" s="11" t="s">
        <v>11</v>
      </c>
      <c r="B7" s="12">
        <v>2999</v>
      </c>
      <c r="C7" s="12">
        <v>3290</v>
      </c>
      <c r="D7" s="13">
        <v>0.09</v>
      </c>
      <c r="E7" s="14">
        <v>15</v>
      </c>
      <c r="F7" s="15">
        <v>4</v>
      </c>
      <c r="G7" s="12">
        <f t="shared" si="0"/>
        <v>291</v>
      </c>
      <c r="H7" s="11" t="str">
        <f t="shared" si="1"/>
        <v>Average</v>
      </c>
      <c r="I7" s="11" t="str">
        <f>IF(Table1[[#This Row],[Discount]]&gt;40%,"High",IF(Table1[[#This Row],[Discount]]&gt;20%,"Medium","Low"))</f>
        <v>Low</v>
      </c>
      <c r="N7" s="12"/>
      <c r="Q7" s="12"/>
    </row>
    <row r="8" spans="1:17" x14ac:dyDescent="0.3">
      <c r="A8" s="11" t="s">
        <v>12</v>
      </c>
      <c r="B8" s="12">
        <v>2319</v>
      </c>
      <c r="C8" s="12">
        <v>3032</v>
      </c>
      <c r="D8" s="13">
        <v>0.24</v>
      </c>
      <c r="E8" s="14">
        <v>55</v>
      </c>
      <c r="F8" s="15">
        <v>4.5999999999999996</v>
      </c>
      <c r="G8" s="12">
        <f t="shared" si="0"/>
        <v>713</v>
      </c>
      <c r="H8" s="11" t="str">
        <f t="shared" si="1"/>
        <v>Excelent</v>
      </c>
      <c r="I8" s="11" t="str">
        <f>IF(Table1[[#This Row],[Discount]]&gt;40%,"High",IF(Table1[[#This Row],[Discount]]&gt;20%,"Medium","Low"))</f>
        <v>Medium</v>
      </c>
      <c r="N8" s="12"/>
      <c r="Q8" s="12"/>
    </row>
    <row r="9" spans="1:17" x14ac:dyDescent="0.3">
      <c r="A9" s="11" t="s">
        <v>13</v>
      </c>
      <c r="B9" s="11">
        <v>988</v>
      </c>
      <c r="C9" s="12">
        <v>1580</v>
      </c>
      <c r="D9" s="13">
        <v>0.37</v>
      </c>
      <c r="E9" s="14">
        <v>2</v>
      </c>
      <c r="F9" s="15">
        <v>4</v>
      </c>
      <c r="G9" s="12">
        <f t="shared" si="0"/>
        <v>592</v>
      </c>
      <c r="H9" s="11" t="str">
        <f t="shared" si="1"/>
        <v>Average</v>
      </c>
      <c r="I9" s="11" t="str">
        <f>IF(Table1[[#This Row],[Discount]]&gt;40%,"High",IF(Table1[[#This Row],[Discount]]&gt;20%,"Medium","Low"))</f>
        <v>Medium</v>
      </c>
      <c r="Q9" s="12"/>
    </row>
    <row r="10" spans="1:17" x14ac:dyDescent="0.3">
      <c r="A10" s="11" t="s">
        <v>14</v>
      </c>
      <c r="B10" s="12">
        <v>1274</v>
      </c>
      <c r="C10" s="12">
        <v>2800</v>
      </c>
      <c r="D10" s="13">
        <v>0.55000000000000004</v>
      </c>
      <c r="E10" s="14">
        <v>5</v>
      </c>
      <c r="F10" s="15">
        <v>4.8</v>
      </c>
      <c r="G10" s="12">
        <f t="shared" si="0"/>
        <v>1526</v>
      </c>
      <c r="H10" s="11" t="str">
        <f t="shared" si="1"/>
        <v>Excelent</v>
      </c>
      <c r="I10" s="11" t="str">
        <f>IF(Table1[[#This Row],[Discount]]&gt;40%,"High",IF(Table1[[#This Row],[Discount]]&gt;20%,"Medium","Low"))</f>
        <v>High</v>
      </c>
      <c r="N10" s="12"/>
      <c r="Q10" s="12"/>
    </row>
    <row r="11" spans="1:17" x14ac:dyDescent="0.3">
      <c r="A11" s="11" t="s">
        <v>15</v>
      </c>
      <c r="B11" s="12">
        <v>1600</v>
      </c>
      <c r="C11" s="12">
        <v>2929</v>
      </c>
      <c r="D11" s="13">
        <v>0.45</v>
      </c>
      <c r="E11" s="14">
        <v>5</v>
      </c>
      <c r="F11" s="15">
        <v>3.8</v>
      </c>
      <c r="G11" s="12">
        <f t="shared" si="0"/>
        <v>1329</v>
      </c>
      <c r="H11" s="11" t="str">
        <f t="shared" si="1"/>
        <v>Average</v>
      </c>
      <c r="I11" s="11" t="str">
        <f>IF(Table1[[#This Row],[Discount]]&gt;40%,"High",IF(Table1[[#This Row],[Discount]]&gt;20%,"Medium","Low"))</f>
        <v>High</v>
      </c>
      <c r="N11" s="12"/>
      <c r="Q11" s="12"/>
    </row>
    <row r="12" spans="1:17" x14ac:dyDescent="0.3">
      <c r="A12" s="11" t="s">
        <v>16</v>
      </c>
      <c r="B12" s="11">
        <v>799</v>
      </c>
      <c r="C12" s="11">
        <v>999</v>
      </c>
      <c r="D12" s="13">
        <v>0.2</v>
      </c>
      <c r="E12" s="14">
        <v>12</v>
      </c>
      <c r="F12" s="15">
        <v>4.0999999999999996</v>
      </c>
      <c r="G12" s="12">
        <f t="shared" si="0"/>
        <v>200</v>
      </c>
      <c r="H12" s="11" t="str">
        <f t="shared" si="1"/>
        <v>Average</v>
      </c>
      <c r="I12" s="11" t="str">
        <f>IF(Table1[[#This Row],[Discount]]&gt;40%,"High",IF(Table1[[#This Row],[Discount]]&gt;20%,"Medium","Low"))</f>
        <v>Low</v>
      </c>
    </row>
    <row r="13" spans="1:17" x14ac:dyDescent="0.3">
      <c r="A13" s="11" t="s">
        <v>17</v>
      </c>
      <c r="B13" s="11">
        <v>990</v>
      </c>
      <c r="C13" s="12">
        <v>1500</v>
      </c>
      <c r="D13" s="13">
        <v>0.34</v>
      </c>
      <c r="E13" s="14">
        <v>39</v>
      </c>
      <c r="F13" s="15">
        <v>4.7</v>
      </c>
      <c r="G13" s="12">
        <f t="shared" si="0"/>
        <v>510</v>
      </c>
      <c r="H13" s="11" t="str">
        <f t="shared" si="1"/>
        <v>Excelent</v>
      </c>
      <c r="I13" s="11" t="str">
        <f>IF(Table1[[#This Row],[Discount]]&gt;40%,"High",IF(Table1[[#This Row],[Discount]]&gt;20%,"Medium","Low"))</f>
        <v>Medium</v>
      </c>
      <c r="Q13" s="12"/>
    </row>
    <row r="14" spans="1:17" x14ac:dyDescent="0.3">
      <c r="A14" s="11" t="s">
        <v>18</v>
      </c>
      <c r="B14" s="11">
        <v>552</v>
      </c>
      <c r="C14" s="12">
        <v>1035</v>
      </c>
      <c r="D14" s="13">
        <v>0.47</v>
      </c>
      <c r="E14" s="14">
        <v>12</v>
      </c>
      <c r="F14" s="15">
        <v>4.8</v>
      </c>
      <c r="G14" s="12">
        <f t="shared" si="0"/>
        <v>483</v>
      </c>
      <c r="H14" s="11" t="str">
        <f t="shared" si="1"/>
        <v>Excelent</v>
      </c>
      <c r="I14" s="11" t="str">
        <f>IF(Table1[[#This Row],[Discount]]&gt;40%,"High",IF(Table1[[#This Row],[Discount]]&gt;20%,"Medium","Low"))</f>
        <v>High</v>
      </c>
      <c r="Q14" s="12"/>
    </row>
    <row r="15" spans="1:17" x14ac:dyDescent="0.3">
      <c r="A15" s="11" t="s">
        <v>19</v>
      </c>
      <c r="B15" s="11">
        <v>501</v>
      </c>
      <c r="C15" s="11">
        <v>860</v>
      </c>
      <c r="D15" s="13">
        <v>0.42</v>
      </c>
      <c r="E15" s="14">
        <v>6</v>
      </c>
      <c r="F15" s="15">
        <v>4.5</v>
      </c>
      <c r="G15" s="12">
        <f t="shared" si="0"/>
        <v>359</v>
      </c>
      <c r="H15" s="11" t="str">
        <f t="shared" si="1"/>
        <v>Excelent</v>
      </c>
      <c r="I15" s="11" t="str">
        <f>IF(Table1[[#This Row],[Discount]]&gt;40%,"High",IF(Table1[[#This Row],[Discount]]&gt;20%,"Medium","Low"))</f>
        <v>High</v>
      </c>
    </row>
    <row r="16" spans="1:17" x14ac:dyDescent="0.3">
      <c r="A16" s="11" t="s">
        <v>20</v>
      </c>
      <c r="B16" s="12">
        <v>1680</v>
      </c>
      <c r="C16" s="12">
        <v>2499</v>
      </c>
      <c r="D16" s="13">
        <v>0.33</v>
      </c>
      <c r="E16" s="14">
        <v>9</v>
      </c>
      <c r="F16" s="15">
        <v>4.2</v>
      </c>
      <c r="G16" s="12">
        <f t="shared" si="0"/>
        <v>819</v>
      </c>
      <c r="H16" s="11" t="str">
        <f t="shared" si="1"/>
        <v>Average</v>
      </c>
      <c r="I16" s="11" t="str">
        <f>IF(Table1[[#This Row],[Discount]]&gt;40%,"High",IF(Table1[[#This Row],[Discount]]&gt;20%,"Medium","Low"))</f>
        <v>Medium</v>
      </c>
      <c r="N16" s="12"/>
      <c r="Q16" s="12"/>
    </row>
    <row r="17" spans="1:17" x14ac:dyDescent="0.3">
      <c r="A17" s="11" t="s">
        <v>21</v>
      </c>
      <c r="B17" s="11">
        <v>332</v>
      </c>
      <c r="C17" s="11">
        <v>684</v>
      </c>
      <c r="D17" s="13">
        <v>0.51</v>
      </c>
      <c r="E17" s="14">
        <v>2</v>
      </c>
      <c r="F17" s="15">
        <v>5</v>
      </c>
      <c r="G17" s="12">
        <f t="shared" si="0"/>
        <v>352</v>
      </c>
      <c r="H17" s="11" t="str">
        <f t="shared" si="1"/>
        <v>Excelent</v>
      </c>
      <c r="I17" s="11" t="str">
        <f>IF(Table1[[#This Row],[Discount]]&gt;40%,"High",IF(Table1[[#This Row],[Discount]]&gt;20%,"Medium","Low"))</f>
        <v>High</v>
      </c>
    </row>
    <row r="18" spans="1:17" x14ac:dyDescent="0.3">
      <c r="A18" s="11" t="s">
        <v>22</v>
      </c>
      <c r="B18" s="11">
        <v>195</v>
      </c>
      <c r="C18" s="11">
        <v>360</v>
      </c>
      <c r="D18" s="13">
        <v>0.46</v>
      </c>
      <c r="E18" s="14">
        <v>2</v>
      </c>
      <c r="F18" s="15">
        <v>5</v>
      </c>
      <c r="G18" s="12">
        <f t="shared" si="0"/>
        <v>165</v>
      </c>
      <c r="H18" s="11" t="str">
        <f t="shared" si="1"/>
        <v>Excelent</v>
      </c>
      <c r="I18" s="11" t="str">
        <f>IF(Table1[[#This Row],[Discount]]&gt;40%,"High",IF(Table1[[#This Row],[Discount]]&gt;20%,"Medium","Low"))</f>
        <v>High</v>
      </c>
    </row>
    <row r="19" spans="1:17" x14ac:dyDescent="0.3">
      <c r="A19" s="11" t="s">
        <v>23</v>
      </c>
      <c r="B19" s="12">
        <v>2025</v>
      </c>
      <c r="C19" s="12">
        <v>3971</v>
      </c>
      <c r="D19" s="13">
        <v>0.49</v>
      </c>
      <c r="E19" s="14">
        <v>3</v>
      </c>
      <c r="F19" s="15">
        <v>5</v>
      </c>
      <c r="G19" s="12">
        <f t="shared" si="0"/>
        <v>1946</v>
      </c>
      <c r="H19" s="11" t="str">
        <f t="shared" si="1"/>
        <v>Excelent</v>
      </c>
      <c r="I19" s="11" t="str">
        <f>IF(Table1[[#This Row],[Discount]]&gt;40%,"High",IF(Table1[[#This Row],[Discount]]&gt;20%,"Medium","Low"))</f>
        <v>High</v>
      </c>
      <c r="N19" s="12"/>
      <c r="Q19" s="12"/>
    </row>
    <row r="20" spans="1:17" x14ac:dyDescent="0.3">
      <c r="A20" s="11" t="s">
        <v>24</v>
      </c>
      <c r="B20" s="12">
        <v>2999</v>
      </c>
      <c r="C20" s="12">
        <v>3699</v>
      </c>
      <c r="D20" s="13">
        <v>0.19</v>
      </c>
      <c r="E20" s="14">
        <v>5</v>
      </c>
      <c r="F20" s="15">
        <v>4.5999999999999996</v>
      </c>
      <c r="G20" s="12">
        <f t="shared" si="0"/>
        <v>700</v>
      </c>
      <c r="H20" s="11" t="str">
        <f t="shared" si="1"/>
        <v>Excelent</v>
      </c>
      <c r="I20" s="11" t="str">
        <f>IF(Table1[[#This Row],[Discount]]&gt;40%,"High",IF(Table1[[#This Row],[Discount]]&gt;20%,"Medium","Low"))</f>
        <v>Low</v>
      </c>
      <c r="N20" s="12"/>
      <c r="Q20" s="12"/>
    </row>
    <row r="21" spans="1:17" x14ac:dyDescent="0.3">
      <c r="A21" s="11" t="s">
        <v>25</v>
      </c>
      <c r="B21" s="11">
        <v>998</v>
      </c>
      <c r="C21" s="12">
        <v>1966</v>
      </c>
      <c r="D21" s="13">
        <v>0.49</v>
      </c>
      <c r="E21" s="14">
        <v>44</v>
      </c>
      <c r="F21" s="15">
        <v>4.5999999999999996</v>
      </c>
      <c r="G21" s="12">
        <f t="shared" si="0"/>
        <v>968</v>
      </c>
      <c r="H21" s="11" t="str">
        <f t="shared" si="1"/>
        <v>Excelent</v>
      </c>
      <c r="I21" s="11" t="str">
        <f>IF(Table1[[#This Row],[Discount]]&gt;40%,"High",IF(Table1[[#This Row],[Discount]]&gt;20%,"Medium","Low"))</f>
        <v>High</v>
      </c>
      <c r="Q21" s="12"/>
    </row>
    <row r="22" spans="1:17" x14ac:dyDescent="0.3">
      <c r="A22" s="11" t="s">
        <v>26</v>
      </c>
      <c r="B22" s="11">
        <v>38</v>
      </c>
      <c r="C22" s="11">
        <v>80</v>
      </c>
      <c r="D22" s="13">
        <v>0.53</v>
      </c>
      <c r="E22" s="14">
        <v>13</v>
      </c>
      <c r="F22" s="15">
        <v>3.3</v>
      </c>
      <c r="G22" s="12">
        <f t="shared" si="0"/>
        <v>42</v>
      </c>
      <c r="H22" s="11" t="str">
        <f t="shared" si="1"/>
        <v>Average</v>
      </c>
      <c r="I22" s="11" t="str">
        <f>IF(Table1[[#This Row],[Discount]]&gt;40%,"High",IF(Table1[[#This Row],[Discount]]&gt;20%,"Medium","Low"))</f>
        <v>High</v>
      </c>
    </row>
    <row r="23" spans="1:17" x14ac:dyDescent="0.3">
      <c r="A23" s="11" t="s">
        <v>27</v>
      </c>
      <c r="B23" s="12">
        <v>1860</v>
      </c>
      <c r="C23" s="12">
        <v>3220</v>
      </c>
      <c r="D23" s="13">
        <v>0.42</v>
      </c>
      <c r="E23" s="14">
        <v>12.684210526315789</v>
      </c>
      <c r="F23" s="15">
        <v>3.8894736842105258</v>
      </c>
      <c r="G23" s="12">
        <f t="shared" si="0"/>
        <v>1360</v>
      </c>
      <c r="H23" s="11" t="str">
        <f t="shared" si="1"/>
        <v>Average</v>
      </c>
      <c r="I23" s="11" t="str">
        <f>IF(Table1[[#This Row],[Discount]]&gt;40%,"High",IF(Table1[[#This Row],[Discount]]&gt;20%,"Medium","Low"))</f>
        <v>High</v>
      </c>
      <c r="N23" s="12"/>
      <c r="Q23" s="12"/>
    </row>
    <row r="24" spans="1:17" x14ac:dyDescent="0.3">
      <c r="A24" s="11" t="s">
        <v>28</v>
      </c>
      <c r="B24" s="11">
        <v>880</v>
      </c>
      <c r="C24" s="12">
        <v>1350</v>
      </c>
      <c r="D24" s="13">
        <v>0.35</v>
      </c>
      <c r="E24" s="14">
        <v>6</v>
      </c>
      <c r="F24" s="15">
        <v>4</v>
      </c>
      <c r="G24" s="12">
        <f t="shared" si="0"/>
        <v>470</v>
      </c>
      <c r="H24" s="11" t="str">
        <f t="shared" si="1"/>
        <v>Average</v>
      </c>
      <c r="I24" s="11" t="str">
        <f>IF(Table1[[#This Row],[Discount]]&gt;40%,"High",IF(Table1[[#This Row],[Discount]]&gt;20%,"Medium","Low"))</f>
        <v>Medium</v>
      </c>
      <c r="Q24" s="12"/>
    </row>
    <row r="25" spans="1:17" x14ac:dyDescent="0.3">
      <c r="A25" s="11" t="s">
        <v>29</v>
      </c>
      <c r="B25" s="12">
        <v>1650</v>
      </c>
      <c r="C25" s="12">
        <v>2150</v>
      </c>
      <c r="D25" s="13">
        <v>0.23</v>
      </c>
      <c r="E25" s="14">
        <v>14</v>
      </c>
      <c r="F25" s="15">
        <v>4.4000000000000004</v>
      </c>
      <c r="G25" s="12">
        <f t="shared" si="0"/>
        <v>500</v>
      </c>
      <c r="H25" s="11" t="str">
        <f t="shared" si="1"/>
        <v>Average</v>
      </c>
      <c r="I25" s="11" t="str">
        <f>IF(Table1[[#This Row],[Discount]]&gt;40%,"High",IF(Table1[[#This Row],[Discount]]&gt;20%,"Medium","Low"))</f>
        <v>Medium</v>
      </c>
      <c r="N25" s="12"/>
      <c r="Q25" s="12"/>
    </row>
    <row r="26" spans="1:17" x14ac:dyDescent="0.3">
      <c r="A26" s="11" t="s">
        <v>30</v>
      </c>
      <c r="B26" s="12">
        <v>2048</v>
      </c>
      <c r="C26" s="12">
        <v>4500</v>
      </c>
      <c r="D26" s="13">
        <v>0.54</v>
      </c>
      <c r="E26" s="14">
        <v>7</v>
      </c>
      <c r="F26" s="15">
        <v>4.3</v>
      </c>
      <c r="G26" s="12">
        <f t="shared" si="0"/>
        <v>2452</v>
      </c>
      <c r="H26" s="11" t="str">
        <f t="shared" si="1"/>
        <v>Average</v>
      </c>
      <c r="I26" s="11" t="str">
        <f>IF(Table1[[#This Row],[Discount]]&gt;40%,"High",IF(Table1[[#This Row],[Discount]]&gt;20%,"Medium","Low"))</f>
        <v>High</v>
      </c>
      <c r="N26" s="12"/>
      <c r="Q26" s="12"/>
    </row>
    <row r="27" spans="1:17" x14ac:dyDescent="0.3">
      <c r="A27" s="11" t="s">
        <v>31</v>
      </c>
      <c r="B27" s="11">
        <v>420</v>
      </c>
      <c r="C27" s="11">
        <v>647</v>
      </c>
      <c r="D27" s="13">
        <v>0.35</v>
      </c>
      <c r="E27" s="14">
        <v>49</v>
      </c>
      <c r="F27" s="15">
        <v>4.5999999999999996</v>
      </c>
      <c r="G27" s="12">
        <f t="shared" si="0"/>
        <v>227</v>
      </c>
      <c r="H27" s="11" t="str">
        <f t="shared" si="1"/>
        <v>Excelent</v>
      </c>
      <c r="I27" s="11" t="str">
        <f>IF(Table1[[#This Row],[Discount]]&gt;40%,"High",IF(Table1[[#This Row],[Discount]]&gt;20%,"Medium","Low"))</f>
        <v>Medium</v>
      </c>
    </row>
    <row r="28" spans="1:17" x14ac:dyDescent="0.3">
      <c r="A28" s="11" t="s">
        <v>32</v>
      </c>
      <c r="B28" s="12">
        <v>2880</v>
      </c>
      <c r="C28" s="12">
        <v>3520</v>
      </c>
      <c r="D28" s="13">
        <v>0.18</v>
      </c>
      <c r="E28" s="14">
        <v>12</v>
      </c>
      <c r="F28" s="15">
        <v>3.8</v>
      </c>
      <c r="G28" s="12">
        <f t="shared" si="0"/>
        <v>640</v>
      </c>
      <c r="H28" s="11" t="str">
        <f t="shared" si="1"/>
        <v>Average</v>
      </c>
      <c r="I28" s="11" t="str">
        <f>IF(Table1[[#This Row],[Discount]]&gt;40%,"High",IF(Table1[[#This Row],[Discount]]&gt;20%,"Medium","Low"))</f>
        <v>Low</v>
      </c>
      <c r="N28" s="12"/>
      <c r="Q28" s="12"/>
    </row>
    <row r="29" spans="1:17" x14ac:dyDescent="0.3">
      <c r="A29" s="11" t="s">
        <v>33</v>
      </c>
      <c r="B29" s="12">
        <v>1350</v>
      </c>
      <c r="C29" s="12">
        <v>1990</v>
      </c>
      <c r="D29" s="13">
        <v>0.32</v>
      </c>
      <c r="E29" s="14">
        <v>13</v>
      </c>
      <c r="F29" s="15">
        <v>3.8</v>
      </c>
      <c r="G29" s="12">
        <f t="shared" si="0"/>
        <v>640</v>
      </c>
      <c r="H29" s="11" t="str">
        <f t="shared" si="1"/>
        <v>Average</v>
      </c>
      <c r="I29" s="11" t="str">
        <f>IF(Table1[[#This Row],[Discount]]&gt;40%,"High",IF(Table1[[#This Row],[Discount]]&gt;20%,"Medium","Low"))</f>
        <v>Medium</v>
      </c>
      <c r="N29" s="12"/>
      <c r="Q29" s="12"/>
    </row>
    <row r="30" spans="1:17" x14ac:dyDescent="0.3">
      <c r="A30" s="11" t="s">
        <v>34</v>
      </c>
      <c r="B30" s="12">
        <v>1758</v>
      </c>
      <c r="C30" s="12">
        <v>2499</v>
      </c>
      <c r="D30" s="13">
        <v>0.3</v>
      </c>
      <c r="E30" s="14">
        <v>20</v>
      </c>
      <c r="F30" s="15">
        <v>4.0999999999999996</v>
      </c>
      <c r="G30" s="12">
        <f t="shared" si="0"/>
        <v>741</v>
      </c>
      <c r="H30" s="11" t="str">
        <f t="shared" si="1"/>
        <v>Average</v>
      </c>
      <c r="I30" s="11" t="str">
        <f>IF(Table1[[#This Row],[Discount]]&gt;40%,"High",IF(Table1[[#This Row],[Discount]]&gt;20%,"Medium","Low"))</f>
        <v>Medium</v>
      </c>
      <c r="N30" s="12"/>
      <c r="Q30" s="12"/>
    </row>
    <row r="31" spans="1:17" x14ac:dyDescent="0.3">
      <c r="A31" s="11" t="s">
        <v>35</v>
      </c>
      <c r="B31" s="12">
        <v>2200</v>
      </c>
      <c r="C31" s="12">
        <v>4080</v>
      </c>
      <c r="D31" s="13">
        <v>0.46</v>
      </c>
      <c r="E31" s="14">
        <v>12.684210526315789</v>
      </c>
      <c r="F31" s="15">
        <v>3.8894736842105258</v>
      </c>
      <c r="G31" s="12">
        <f t="shared" si="0"/>
        <v>1880</v>
      </c>
      <c r="H31" s="11" t="str">
        <f t="shared" si="1"/>
        <v>Average</v>
      </c>
      <c r="I31" s="11" t="str">
        <f>IF(Table1[[#This Row],[Discount]]&gt;40%,"High",IF(Table1[[#This Row],[Discount]]&gt;20%,"Medium","Low"))</f>
        <v>High</v>
      </c>
      <c r="N31" s="12"/>
      <c r="Q31" s="12"/>
    </row>
    <row r="32" spans="1:17" x14ac:dyDescent="0.3">
      <c r="A32" s="11" t="s">
        <v>36</v>
      </c>
      <c r="B32" s="11">
        <v>185</v>
      </c>
      <c r="C32" s="11">
        <v>382</v>
      </c>
      <c r="D32" s="13">
        <v>0.52</v>
      </c>
      <c r="E32" s="14">
        <v>9</v>
      </c>
      <c r="F32" s="15">
        <v>4.3</v>
      </c>
      <c r="G32" s="12">
        <f t="shared" si="0"/>
        <v>197</v>
      </c>
      <c r="H32" s="11" t="str">
        <f t="shared" si="1"/>
        <v>Average</v>
      </c>
      <c r="I32" s="11" t="str">
        <f>IF(Table1[[#This Row],[Discount]]&gt;40%,"High",IF(Table1[[#This Row],[Discount]]&gt;20%,"Medium","Low"))</f>
        <v>High</v>
      </c>
    </row>
    <row r="33" spans="1:20" x14ac:dyDescent="0.3">
      <c r="A33" s="11" t="s">
        <v>37</v>
      </c>
      <c r="B33" s="11">
        <v>980</v>
      </c>
      <c r="C33" s="12">
        <v>1490</v>
      </c>
      <c r="D33" s="13">
        <v>0.34</v>
      </c>
      <c r="E33" s="14">
        <v>12</v>
      </c>
      <c r="F33" s="15">
        <v>4.7</v>
      </c>
      <c r="G33" s="12">
        <f t="shared" si="0"/>
        <v>510</v>
      </c>
      <c r="H33" s="11" t="str">
        <f t="shared" si="1"/>
        <v>Excelent</v>
      </c>
      <c r="I33" s="11" t="str">
        <f>IF(Table1[[#This Row],[Discount]]&gt;40%,"High",IF(Table1[[#This Row],[Discount]]&gt;20%,"Medium","Low"))</f>
        <v>Medium</v>
      </c>
      <c r="Q33" s="12"/>
    </row>
    <row r="34" spans="1:20" x14ac:dyDescent="0.3">
      <c r="A34" s="11" t="s">
        <v>38</v>
      </c>
      <c r="B34" s="12">
        <v>1820</v>
      </c>
      <c r="C34" s="12">
        <v>3490</v>
      </c>
      <c r="D34" s="13">
        <v>0.48</v>
      </c>
      <c r="E34" s="14">
        <v>9</v>
      </c>
      <c r="F34" s="15">
        <v>4.3</v>
      </c>
      <c r="G34" s="12">
        <f t="shared" si="0"/>
        <v>1670</v>
      </c>
      <c r="H34" s="11" t="str">
        <f t="shared" si="1"/>
        <v>Average</v>
      </c>
      <c r="I34" s="11" t="str">
        <f>IF(Table1[[#This Row],[Discount]]&gt;40%,"High",IF(Table1[[#This Row],[Discount]]&gt;20%,"Medium","Low"))</f>
        <v>High</v>
      </c>
      <c r="N34" s="12"/>
      <c r="Q34" s="12"/>
    </row>
    <row r="35" spans="1:20" x14ac:dyDescent="0.3">
      <c r="A35" s="11" t="s">
        <v>39</v>
      </c>
      <c r="B35" s="12">
        <v>1940</v>
      </c>
      <c r="C35" s="12">
        <v>2650</v>
      </c>
      <c r="D35" s="13">
        <v>0.27</v>
      </c>
      <c r="E35" s="14">
        <v>20</v>
      </c>
      <c r="F35" s="15">
        <v>4.7</v>
      </c>
      <c r="G35" s="12">
        <f t="shared" si="0"/>
        <v>710</v>
      </c>
      <c r="H35" s="11" t="str">
        <f t="shared" si="1"/>
        <v>Excelent</v>
      </c>
      <c r="I35" s="11" t="str">
        <f>IF(Table1[[#This Row],[Discount]]&gt;40%,"High",IF(Table1[[#This Row],[Discount]]&gt;20%,"Medium","Low"))</f>
        <v>Medium</v>
      </c>
      <c r="N35" s="12"/>
      <c r="Q35" s="12"/>
    </row>
    <row r="36" spans="1:20" x14ac:dyDescent="0.3">
      <c r="A36" s="11" t="s">
        <v>40</v>
      </c>
      <c r="B36" s="12">
        <v>1980</v>
      </c>
      <c r="C36" s="12">
        <v>2699</v>
      </c>
      <c r="D36" s="13">
        <v>0.27</v>
      </c>
      <c r="E36" s="14">
        <v>32</v>
      </c>
      <c r="F36" s="15">
        <v>4.5</v>
      </c>
      <c r="G36" s="12">
        <f t="shared" si="0"/>
        <v>719</v>
      </c>
      <c r="H36" s="11" t="str">
        <f t="shared" si="1"/>
        <v>Excelent</v>
      </c>
      <c r="I36" s="11" t="str">
        <f>IF(Table1[[#This Row],[Discount]]&gt;40%,"High",IF(Table1[[#This Row],[Discount]]&gt;20%,"Medium","Low"))</f>
        <v>Medium</v>
      </c>
      <c r="N36" s="12"/>
      <c r="Q36" s="12"/>
    </row>
    <row r="37" spans="1:20" x14ac:dyDescent="0.3">
      <c r="A37" s="11" t="s">
        <v>41</v>
      </c>
      <c r="B37" s="12">
        <v>1620</v>
      </c>
      <c r="C37" s="12">
        <v>2690</v>
      </c>
      <c r="D37" s="13">
        <v>0.4</v>
      </c>
      <c r="E37" s="14">
        <v>1</v>
      </c>
      <c r="F37" s="15">
        <v>5</v>
      </c>
      <c r="G37" s="12">
        <f t="shared" si="0"/>
        <v>1070</v>
      </c>
      <c r="H37" s="11" t="str">
        <f t="shared" si="1"/>
        <v>Excelent</v>
      </c>
      <c r="I37" s="11" t="str">
        <f>IF(Table1[[#This Row],[Discount]]&gt;40%,"High",IF(Table1[[#This Row],[Discount]]&gt;20%,"Medium","Low"))</f>
        <v>Medium</v>
      </c>
      <c r="N37" s="12"/>
      <c r="Q37" s="12"/>
    </row>
    <row r="38" spans="1:20" x14ac:dyDescent="0.3">
      <c r="A38" s="11" t="s">
        <v>42</v>
      </c>
      <c r="B38" s="11">
        <v>171</v>
      </c>
      <c r="C38" s="11">
        <v>360</v>
      </c>
      <c r="D38" s="13">
        <v>0.53</v>
      </c>
      <c r="E38" s="14">
        <v>2</v>
      </c>
      <c r="F38" s="15">
        <v>5</v>
      </c>
      <c r="G38" s="12">
        <f t="shared" si="0"/>
        <v>189</v>
      </c>
      <c r="H38" s="11" t="str">
        <f t="shared" si="1"/>
        <v>Excelent</v>
      </c>
      <c r="I38" s="11" t="str">
        <f>IF(Table1[[#This Row],[Discount]]&gt;40%,"High",IF(Table1[[#This Row],[Discount]]&gt;20%,"Medium","Low"))</f>
        <v>High</v>
      </c>
    </row>
    <row r="39" spans="1:20" x14ac:dyDescent="0.3">
      <c r="A39" s="11" t="s">
        <v>43</v>
      </c>
      <c r="B39" s="11">
        <v>389</v>
      </c>
      <c r="C39" s="11">
        <v>656</v>
      </c>
      <c r="D39" s="13">
        <v>0.41</v>
      </c>
      <c r="E39" s="14">
        <v>36</v>
      </c>
      <c r="F39" s="15">
        <v>4.3</v>
      </c>
      <c r="G39" s="12">
        <f t="shared" si="0"/>
        <v>267</v>
      </c>
      <c r="H39" s="11" t="str">
        <f t="shared" si="1"/>
        <v>Average</v>
      </c>
      <c r="I39" s="11" t="str">
        <f>IF(Table1[[#This Row],[Discount]]&gt;40%,"High",IF(Table1[[#This Row],[Discount]]&gt;20%,"Medium","Low"))</f>
        <v>High</v>
      </c>
    </row>
    <row r="40" spans="1:20" x14ac:dyDescent="0.3">
      <c r="A40" s="11" t="s">
        <v>44</v>
      </c>
      <c r="B40" s="12">
        <v>1620</v>
      </c>
      <c r="C40" s="12">
        <v>2200</v>
      </c>
      <c r="D40" s="13">
        <v>0.38</v>
      </c>
      <c r="E40" s="14">
        <v>2</v>
      </c>
      <c r="F40" s="15">
        <v>4.5</v>
      </c>
      <c r="G40" s="12">
        <f t="shared" si="0"/>
        <v>580</v>
      </c>
      <c r="H40" s="11" t="str">
        <f t="shared" si="1"/>
        <v>Excelent</v>
      </c>
      <c r="I40" s="11" t="str">
        <f>IF(Table1[[#This Row],[Discount]]&gt;40%,"High",IF(Table1[[#This Row],[Discount]]&gt;20%,"Medium","Low"))</f>
        <v>Medium</v>
      </c>
      <c r="N40" s="12"/>
      <c r="Q40" s="12"/>
      <c r="T40" s="12"/>
    </row>
    <row r="41" spans="1:20" x14ac:dyDescent="0.3">
      <c r="A41" s="11" t="s">
        <v>45</v>
      </c>
      <c r="B41" s="12">
        <v>2750</v>
      </c>
      <c r="C41" s="12">
        <v>4471</v>
      </c>
      <c r="D41" s="13">
        <v>0.38</v>
      </c>
      <c r="E41" s="14">
        <v>12.684210526315789</v>
      </c>
      <c r="F41" s="15">
        <v>3.8894736842105258</v>
      </c>
      <c r="G41" s="12">
        <f t="shared" si="0"/>
        <v>1721</v>
      </c>
      <c r="H41" s="11" t="str">
        <f t="shared" si="1"/>
        <v>Average</v>
      </c>
      <c r="I41" s="11" t="str">
        <f>IF(Table1[[#This Row],[Discount]]&gt;40%,"High",IF(Table1[[#This Row],[Discount]]&gt;20%,"Medium","Low"))</f>
        <v>Medium</v>
      </c>
      <c r="N41" s="12"/>
      <c r="Q41" s="12"/>
    </row>
    <row r="42" spans="1:20" x14ac:dyDescent="0.3">
      <c r="A42" s="11" t="s">
        <v>46</v>
      </c>
      <c r="B42" s="11">
        <v>475</v>
      </c>
      <c r="C42" s="11">
        <v>931</v>
      </c>
      <c r="D42" s="13">
        <v>0.49</v>
      </c>
      <c r="E42" s="14">
        <v>12.684210526315789</v>
      </c>
      <c r="F42" s="15">
        <v>3.8894736842105258</v>
      </c>
      <c r="G42" s="12">
        <f t="shared" si="0"/>
        <v>456</v>
      </c>
      <c r="H42" s="11" t="str">
        <f t="shared" si="1"/>
        <v>Average</v>
      </c>
      <c r="I42" s="11" t="str">
        <f>IF(Table1[[#This Row],[Discount]]&gt;40%,"High",IF(Table1[[#This Row],[Discount]]&gt;20%,"Medium","Low"))</f>
        <v>High</v>
      </c>
    </row>
    <row r="43" spans="1:20" x14ac:dyDescent="0.3">
      <c r="A43" s="11" t="s">
        <v>47</v>
      </c>
      <c r="B43" s="11">
        <v>238</v>
      </c>
      <c r="C43" s="11">
        <v>476</v>
      </c>
      <c r="D43" s="13">
        <v>0.5</v>
      </c>
      <c r="E43" s="14">
        <v>12.684210526315789</v>
      </c>
      <c r="F43" s="15">
        <v>3.8894736842105258</v>
      </c>
      <c r="G43" s="12">
        <f t="shared" si="0"/>
        <v>238</v>
      </c>
      <c r="H43" s="11" t="str">
        <f t="shared" si="1"/>
        <v>Average</v>
      </c>
      <c r="I43" s="11" t="str">
        <f>IF(Table1[[#This Row],[Discount]]&gt;40%,"High",IF(Table1[[#This Row],[Discount]]&gt;20%,"Medium","Low"))</f>
        <v>High</v>
      </c>
    </row>
    <row r="44" spans="1:20" x14ac:dyDescent="0.3">
      <c r="A44" s="11" t="s">
        <v>48</v>
      </c>
      <c r="B44" s="11">
        <v>610</v>
      </c>
      <c r="C44" s="12">
        <v>1060</v>
      </c>
      <c r="D44" s="13">
        <v>0.42</v>
      </c>
      <c r="E44" s="14">
        <v>12.684210526315789</v>
      </c>
      <c r="F44" s="15">
        <v>3.8894736842105258</v>
      </c>
      <c r="G44" s="12">
        <f t="shared" si="0"/>
        <v>450</v>
      </c>
      <c r="H44" s="11" t="str">
        <f t="shared" si="1"/>
        <v>Average</v>
      </c>
      <c r="I44" s="11" t="str">
        <f>IF(Table1[[#This Row],[Discount]]&gt;40%,"High",IF(Table1[[#This Row],[Discount]]&gt;20%,"Medium","Low"))</f>
        <v>High</v>
      </c>
      <c r="Q44" s="12"/>
    </row>
    <row r="45" spans="1:20" x14ac:dyDescent="0.3">
      <c r="A45" s="11" t="s">
        <v>49</v>
      </c>
      <c r="B45" s="12">
        <v>2132</v>
      </c>
      <c r="C45" s="12">
        <v>2169</v>
      </c>
      <c r="D45" s="13">
        <v>0.02</v>
      </c>
      <c r="E45" s="14">
        <v>12.684210526315789</v>
      </c>
      <c r="F45" s="15">
        <v>3.8894736842105258</v>
      </c>
      <c r="G45" s="12">
        <f t="shared" si="0"/>
        <v>37</v>
      </c>
      <c r="H45" s="11" t="str">
        <f t="shared" si="1"/>
        <v>Average</v>
      </c>
      <c r="I45" s="11" t="str">
        <f>IF(Table1[[#This Row],[Discount]]&gt;40%,"High",IF(Table1[[#This Row],[Discount]]&gt;20%,"Medium","Low"))</f>
        <v>Low</v>
      </c>
      <c r="N45" s="12"/>
      <c r="Q45" s="12"/>
    </row>
    <row r="46" spans="1:20" x14ac:dyDescent="0.3">
      <c r="A46" s="11" t="s">
        <v>50</v>
      </c>
      <c r="B46" s="11">
        <v>999</v>
      </c>
      <c r="C46" s="12">
        <v>2000</v>
      </c>
      <c r="D46" s="13">
        <v>0.5</v>
      </c>
      <c r="E46" s="14">
        <v>12.684210526315789</v>
      </c>
      <c r="F46" s="15">
        <v>3.8894736842105258</v>
      </c>
      <c r="G46" s="12">
        <f t="shared" si="0"/>
        <v>1001</v>
      </c>
      <c r="H46" s="11" t="str">
        <f t="shared" si="1"/>
        <v>Average</v>
      </c>
      <c r="I46" s="11" t="str">
        <f>IF(Table1[[#This Row],[Discount]]&gt;40%,"High",IF(Table1[[#This Row],[Discount]]&gt;20%,"Medium","Low"))</f>
        <v>High</v>
      </c>
      <c r="Q46" s="12"/>
    </row>
    <row r="47" spans="1:20" x14ac:dyDescent="0.3">
      <c r="A47" s="11" t="s">
        <v>51</v>
      </c>
      <c r="B47" s="12">
        <v>1190</v>
      </c>
      <c r="C47" s="12">
        <v>1785</v>
      </c>
      <c r="D47" s="13">
        <v>0.33</v>
      </c>
      <c r="E47" s="14">
        <v>12.684210526315789</v>
      </c>
      <c r="F47" s="15">
        <v>3.8894736842105258</v>
      </c>
      <c r="G47" s="12">
        <f t="shared" si="0"/>
        <v>595</v>
      </c>
      <c r="H47" s="11" t="str">
        <f t="shared" si="1"/>
        <v>Average</v>
      </c>
      <c r="I47" s="11" t="str">
        <f>IF(Table1[[#This Row],[Discount]]&gt;40%,"High",IF(Table1[[#This Row],[Discount]]&gt;20%,"Medium","Low"))</f>
        <v>Medium</v>
      </c>
      <c r="N47" s="12"/>
      <c r="Q47" s="12"/>
    </row>
    <row r="48" spans="1:20" x14ac:dyDescent="0.3">
      <c r="A48" s="11" t="s">
        <v>52</v>
      </c>
      <c r="B48" s="11">
        <v>671</v>
      </c>
      <c r="C48" s="12">
        <v>1316</v>
      </c>
      <c r="D48" s="13">
        <v>0.49</v>
      </c>
      <c r="E48" s="14">
        <v>12.684210526315789</v>
      </c>
      <c r="F48" s="15">
        <v>3.8894736842105258</v>
      </c>
      <c r="G48" s="12">
        <f t="shared" si="0"/>
        <v>645</v>
      </c>
      <c r="H48" s="11" t="str">
        <f t="shared" si="1"/>
        <v>Average</v>
      </c>
      <c r="I48" s="11" t="str">
        <f>IF(Table1[[#This Row],[Discount]]&gt;40%,"High",IF(Table1[[#This Row],[Discount]]&gt;20%,"Medium","Low"))</f>
        <v>High</v>
      </c>
      <c r="Q48" s="12"/>
    </row>
    <row r="49" spans="1:17" x14ac:dyDescent="0.3">
      <c r="A49" s="11" t="s">
        <v>53</v>
      </c>
      <c r="B49" s="12">
        <v>1200</v>
      </c>
      <c r="C49" s="12">
        <v>1950</v>
      </c>
      <c r="D49" s="13">
        <v>0.38</v>
      </c>
      <c r="E49" s="14">
        <v>12.684210526315789</v>
      </c>
      <c r="F49" s="15">
        <v>3.8894736842105258</v>
      </c>
      <c r="G49" s="12">
        <f t="shared" si="0"/>
        <v>750</v>
      </c>
      <c r="H49" s="11" t="str">
        <f t="shared" si="1"/>
        <v>Average</v>
      </c>
      <c r="I49" s="11" t="str">
        <f>IF(Table1[[#This Row],[Discount]]&gt;40%,"High",IF(Table1[[#This Row],[Discount]]&gt;20%,"Medium","Low"))</f>
        <v>Medium</v>
      </c>
      <c r="N49" s="12"/>
      <c r="Q49" s="12"/>
    </row>
    <row r="50" spans="1:17" x14ac:dyDescent="0.3">
      <c r="A50" s="11" t="s">
        <v>54</v>
      </c>
      <c r="B50" s="11">
        <v>199</v>
      </c>
      <c r="C50" s="11">
        <v>504</v>
      </c>
      <c r="D50" s="13">
        <v>0.61</v>
      </c>
      <c r="E50" s="14">
        <v>12.684210526315789</v>
      </c>
      <c r="F50" s="15">
        <v>3.8894736842105258</v>
      </c>
      <c r="G50" s="12">
        <f t="shared" si="0"/>
        <v>305</v>
      </c>
      <c r="H50" s="11" t="str">
        <f t="shared" si="1"/>
        <v>Average</v>
      </c>
      <c r="I50" s="11" t="str">
        <f>IF(Table1[[#This Row],[Discount]]&gt;40%,"High",IF(Table1[[#This Row],[Discount]]&gt;20%,"Medium","Low"))</f>
        <v>High</v>
      </c>
    </row>
    <row r="51" spans="1:17" x14ac:dyDescent="0.3">
      <c r="A51" s="11" t="s">
        <v>55</v>
      </c>
      <c r="B51" s="11">
        <v>299</v>
      </c>
      <c r="C51" s="11">
        <v>600</v>
      </c>
      <c r="D51" s="13">
        <v>0.5</v>
      </c>
      <c r="E51" s="14">
        <v>12.684210526315789</v>
      </c>
      <c r="F51" s="15">
        <v>3.8894736842105258</v>
      </c>
      <c r="G51" s="12">
        <f t="shared" si="0"/>
        <v>301</v>
      </c>
      <c r="H51" s="11" t="str">
        <f t="shared" si="1"/>
        <v>Average</v>
      </c>
      <c r="I51" s="11" t="str">
        <f>IF(Table1[[#This Row],[Discount]]&gt;40%,"High",IF(Table1[[#This Row],[Discount]]&gt;20%,"Medium","Low"))</f>
        <v>High</v>
      </c>
    </row>
    <row r="52" spans="1:17" x14ac:dyDescent="0.3">
      <c r="A52" s="11" t="s">
        <v>56</v>
      </c>
      <c r="B52" s="12">
        <v>1660</v>
      </c>
      <c r="C52" s="12">
        <v>1699</v>
      </c>
      <c r="D52" s="13">
        <v>0.02</v>
      </c>
      <c r="E52" s="14">
        <v>12.684210526315789</v>
      </c>
      <c r="F52" s="15">
        <v>3.8894736842105258</v>
      </c>
      <c r="G52" s="12">
        <f t="shared" si="0"/>
        <v>39</v>
      </c>
      <c r="H52" s="11" t="str">
        <f t="shared" si="1"/>
        <v>Average</v>
      </c>
      <c r="I52" s="11" t="str">
        <f>IF(Table1[[#This Row],[Discount]]&gt;40%,"High",IF(Table1[[#This Row],[Discount]]&gt;20%,"Medium","Low"))</f>
        <v>Low</v>
      </c>
      <c r="N52" s="12"/>
      <c r="Q52" s="12"/>
    </row>
    <row r="53" spans="1:17" x14ac:dyDescent="0.3">
      <c r="A53" s="11" t="s">
        <v>57</v>
      </c>
      <c r="B53" s="11">
        <v>299</v>
      </c>
      <c r="C53" s="11">
        <v>384</v>
      </c>
      <c r="D53" s="13">
        <v>0.22</v>
      </c>
      <c r="E53" s="14">
        <v>12.684210526315789</v>
      </c>
      <c r="F53" s="15">
        <v>3.8894736842105258</v>
      </c>
      <c r="G53" s="12">
        <f t="shared" si="0"/>
        <v>85</v>
      </c>
      <c r="H53" s="11" t="str">
        <f t="shared" si="1"/>
        <v>Average</v>
      </c>
      <c r="I53" s="11" t="str">
        <f>IF(Table1[[#This Row],[Discount]]&gt;40%,"High",IF(Table1[[#This Row],[Discount]]&gt;20%,"Medium","Low"))</f>
        <v>Medium</v>
      </c>
    </row>
    <row r="54" spans="1:17" x14ac:dyDescent="0.3">
      <c r="A54" s="11" t="s">
        <v>58</v>
      </c>
      <c r="B54" s="12">
        <v>1459</v>
      </c>
      <c r="C54" s="12">
        <v>1499</v>
      </c>
      <c r="D54" s="13">
        <v>0.03</v>
      </c>
      <c r="E54" s="14">
        <v>12.684210526315789</v>
      </c>
      <c r="F54" s="15">
        <v>3.8894736842105258</v>
      </c>
      <c r="G54" s="12">
        <f t="shared" si="0"/>
        <v>40</v>
      </c>
      <c r="H54" s="11" t="str">
        <f t="shared" si="1"/>
        <v>Average</v>
      </c>
      <c r="I54" s="11" t="str">
        <f>IF(Table1[[#This Row],[Discount]]&gt;40%,"High",IF(Table1[[#This Row],[Discount]]&gt;20%,"Medium","Low"))</f>
        <v>Low</v>
      </c>
      <c r="N54" s="12"/>
      <c r="Q54" s="12"/>
    </row>
    <row r="55" spans="1:17" x14ac:dyDescent="0.3">
      <c r="A55" s="11" t="s">
        <v>59</v>
      </c>
      <c r="B55" s="11">
        <v>799</v>
      </c>
      <c r="C55" s="12">
        <v>1343</v>
      </c>
      <c r="D55" s="13">
        <v>0.41</v>
      </c>
      <c r="E55" s="14">
        <v>12.684210526315789</v>
      </c>
      <c r="F55" s="15">
        <v>3.8894736842105258</v>
      </c>
      <c r="G55" s="12">
        <f t="shared" si="0"/>
        <v>544</v>
      </c>
      <c r="H55" s="11" t="str">
        <f t="shared" si="1"/>
        <v>Average</v>
      </c>
      <c r="I55" s="11" t="str">
        <f>IF(Table1[[#This Row],[Discount]]&gt;40%,"High",IF(Table1[[#This Row],[Discount]]&gt;20%,"Medium","Low"))</f>
        <v>High</v>
      </c>
      <c r="Q55" s="12"/>
    </row>
    <row r="56" spans="1:17" x14ac:dyDescent="0.3">
      <c r="A56" s="11" t="s">
        <v>61</v>
      </c>
      <c r="B56" s="11">
        <v>699</v>
      </c>
      <c r="C56" s="12">
        <v>1343</v>
      </c>
      <c r="D56" s="13">
        <v>0.48</v>
      </c>
      <c r="E56" s="14">
        <v>12.684210526315789</v>
      </c>
      <c r="F56" s="15">
        <v>3.8894736842105258</v>
      </c>
      <c r="G56" s="12">
        <f t="shared" si="0"/>
        <v>644</v>
      </c>
      <c r="H56" s="11" t="str">
        <f t="shared" si="1"/>
        <v>Average</v>
      </c>
      <c r="I56" s="11" t="str">
        <f>IF(Table1[[#This Row],[Discount]]&gt;40%,"High",IF(Table1[[#This Row],[Discount]]&gt;20%,"Medium","Low"))</f>
        <v>High</v>
      </c>
      <c r="Q56" s="12"/>
    </row>
    <row r="57" spans="1:17" x14ac:dyDescent="0.3">
      <c r="A57" s="11" t="s">
        <v>62</v>
      </c>
      <c r="B57" s="11">
        <v>799</v>
      </c>
      <c r="C57" s="12">
        <v>1567</v>
      </c>
      <c r="D57" s="13">
        <v>0.49</v>
      </c>
      <c r="E57" s="14">
        <v>12.684210526315789</v>
      </c>
      <c r="F57" s="15">
        <v>3.8894736842105258</v>
      </c>
      <c r="G57" s="12">
        <f t="shared" si="0"/>
        <v>768</v>
      </c>
      <c r="H57" s="11" t="str">
        <f t="shared" si="1"/>
        <v>Average</v>
      </c>
      <c r="I57" s="11" t="str">
        <f>IF(Table1[[#This Row],[Discount]]&gt;40%,"High",IF(Table1[[#This Row],[Discount]]&gt;20%,"Medium","Low"))</f>
        <v>High</v>
      </c>
      <c r="Q57" s="12"/>
    </row>
    <row r="58" spans="1:17" x14ac:dyDescent="0.3">
      <c r="A58" s="11" t="s">
        <v>63</v>
      </c>
      <c r="B58" s="12">
        <v>2799</v>
      </c>
      <c r="C58" s="12">
        <v>3810</v>
      </c>
      <c r="D58" s="13">
        <v>0.27</v>
      </c>
      <c r="E58" s="14">
        <v>12.684210526315789</v>
      </c>
      <c r="F58" s="15">
        <v>3.8894736842105258</v>
      </c>
      <c r="G58" s="12">
        <f t="shared" si="0"/>
        <v>1011</v>
      </c>
      <c r="H58" s="11" t="str">
        <f t="shared" si="1"/>
        <v>Average</v>
      </c>
      <c r="I58" s="11" t="str">
        <f>IF(Table1[[#This Row],[Discount]]&gt;40%,"High",IF(Table1[[#This Row],[Discount]]&gt;20%,"Medium","Low"))</f>
        <v>Medium</v>
      </c>
      <c r="N58" s="12"/>
      <c r="Q58" s="12"/>
    </row>
    <row r="59" spans="1:17" x14ac:dyDescent="0.3">
      <c r="A59" s="11" t="s">
        <v>60</v>
      </c>
      <c r="B59" s="11">
        <v>399</v>
      </c>
      <c r="C59" s="11">
        <v>896</v>
      </c>
      <c r="D59" s="13">
        <v>0.55000000000000004</v>
      </c>
      <c r="E59" s="14">
        <v>12.684210526315789</v>
      </c>
      <c r="F59" s="15">
        <v>3.8894736842105258</v>
      </c>
      <c r="G59" s="12">
        <f t="shared" si="0"/>
        <v>497</v>
      </c>
      <c r="H59" s="11" t="str">
        <f t="shared" si="1"/>
        <v>Average</v>
      </c>
      <c r="I59" s="11" t="str">
        <f>IF(Table1[[#This Row],[Discount]]&gt;40%,"High",IF(Table1[[#This Row],[Discount]]&gt;20%,"Medium","Low"))</f>
        <v>High</v>
      </c>
    </row>
    <row r="60" spans="1:17" x14ac:dyDescent="0.3">
      <c r="A60" s="11" t="s">
        <v>64</v>
      </c>
      <c r="B60" s="12">
        <v>2170</v>
      </c>
      <c r="C60" s="12">
        <v>2500</v>
      </c>
      <c r="D60" s="13">
        <v>0.13</v>
      </c>
      <c r="E60" s="14">
        <v>6</v>
      </c>
      <c r="F60" s="15">
        <v>2.5</v>
      </c>
      <c r="G60" s="12">
        <f t="shared" si="0"/>
        <v>330</v>
      </c>
      <c r="H60" s="11" t="str">
        <f t="shared" si="1"/>
        <v>Poor</v>
      </c>
      <c r="I60" s="11" t="str">
        <f>IF(Table1[[#This Row],[Discount]]&gt;40%,"High",IF(Table1[[#This Row],[Discount]]&gt;20%,"Medium","Low"))</f>
        <v>Low</v>
      </c>
      <c r="N60" s="12"/>
      <c r="Q60" s="12"/>
    </row>
    <row r="61" spans="1:17" x14ac:dyDescent="0.3">
      <c r="A61" s="11" t="s">
        <v>65</v>
      </c>
      <c r="B61" s="11">
        <v>458</v>
      </c>
      <c r="C61" s="11">
        <v>986</v>
      </c>
      <c r="D61" s="13">
        <v>0.54</v>
      </c>
      <c r="E61" s="14">
        <v>10</v>
      </c>
      <c r="F61" s="15">
        <v>3</v>
      </c>
      <c r="G61" s="12">
        <f t="shared" si="0"/>
        <v>528</v>
      </c>
      <c r="H61" s="11" t="str">
        <f t="shared" si="1"/>
        <v>Average</v>
      </c>
      <c r="I61" s="11" t="str">
        <f>IF(Table1[[#This Row],[Discount]]&gt;40%,"High",IF(Table1[[#This Row],[Discount]]&gt;20%,"Medium","Low"))</f>
        <v>High</v>
      </c>
    </row>
    <row r="62" spans="1:17" x14ac:dyDescent="0.3">
      <c r="A62" s="11" t="s">
        <v>66</v>
      </c>
      <c r="B62" s="12">
        <v>2115</v>
      </c>
      <c r="C62" s="12">
        <v>4700</v>
      </c>
      <c r="D62" s="13">
        <v>0.55000000000000004</v>
      </c>
      <c r="E62" s="14">
        <v>13</v>
      </c>
      <c r="F62" s="15">
        <v>2.1</v>
      </c>
      <c r="G62" s="12">
        <f t="shared" si="0"/>
        <v>2585</v>
      </c>
      <c r="H62" s="11" t="str">
        <f t="shared" si="1"/>
        <v>Poor</v>
      </c>
      <c r="I62" s="11" t="str">
        <f>IF(Table1[[#This Row],[Discount]]&gt;40%,"High",IF(Table1[[#This Row],[Discount]]&gt;20%,"Medium","Low"))</f>
        <v>High</v>
      </c>
      <c r="N62" s="12"/>
      <c r="Q62" s="12"/>
    </row>
    <row r="63" spans="1:17" x14ac:dyDescent="0.3">
      <c r="A63" s="11" t="s">
        <v>67</v>
      </c>
      <c r="B63" s="11">
        <v>445</v>
      </c>
      <c r="C63" s="11">
        <v>873</v>
      </c>
      <c r="D63" s="13">
        <v>0.49</v>
      </c>
      <c r="E63" s="14">
        <v>69</v>
      </c>
      <c r="F63" s="15">
        <v>2.8</v>
      </c>
      <c r="G63" s="12">
        <f t="shared" si="0"/>
        <v>428</v>
      </c>
      <c r="H63" s="11" t="str">
        <f t="shared" si="1"/>
        <v>Poor</v>
      </c>
      <c r="I63" s="11" t="str">
        <f>IF(Table1[[#This Row],[Discount]]&gt;40%,"High",IF(Table1[[#This Row],[Discount]]&gt;20%,"Medium","Low"))</f>
        <v>High</v>
      </c>
    </row>
    <row r="64" spans="1:17" x14ac:dyDescent="0.3">
      <c r="A64" s="11" t="s">
        <v>68</v>
      </c>
      <c r="B64" s="11">
        <v>325</v>
      </c>
      <c r="C64" s="11">
        <v>680</v>
      </c>
      <c r="D64" s="13">
        <v>0.52</v>
      </c>
      <c r="E64" s="14">
        <v>15</v>
      </c>
      <c r="F64" s="15">
        <v>2.7</v>
      </c>
      <c r="G64" s="12">
        <f t="shared" si="0"/>
        <v>355</v>
      </c>
      <c r="H64" s="11" t="str">
        <f t="shared" si="1"/>
        <v>Poor</v>
      </c>
      <c r="I64" s="11" t="str">
        <f>IF(Table1[[#This Row],[Discount]]&gt;40%,"High",IF(Table1[[#This Row],[Discount]]&gt;20%,"Medium","Low"))</f>
        <v>High</v>
      </c>
    </row>
    <row r="65" spans="1:17" x14ac:dyDescent="0.3">
      <c r="A65" s="11" t="s">
        <v>69</v>
      </c>
      <c r="B65" s="12">
        <v>1220</v>
      </c>
      <c r="C65" s="12">
        <v>1555</v>
      </c>
      <c r="D65" s="13">
        <v>0.22</v>
      </c>
      <c r="E65" s="14">
        <v>16</v>
      </c>
      <c r="F65" s="15">
        <v>2.9</v>
      </c>
      <c r="G65" s="12">
        <f t="shared" ref="G65:G110" si="2">C65-B65</f>
        <v>335</v>
      </c>
      <c r="H65" s="11" t="str">
        <f t="shared" ref="H65:H110" si="3">IF(F65&gt;=4.5,"Excelent",IF(F65&gt;=3,"Average","Poor"))</f>
        <v>Poor</v>
      </c>
      <c r="I65" s="11" t="str">
        <f>IF(Table1[[#This Row],[Discount]]&gt;40%,"High",IF(Table1[[#This Row],[Discount]]&gt;20%,"Medium","Low"))</f>
        <v>Medium</v>
      </c>
      <c r="N65" s="12"/>
      <c r="Q65" s="12"/>
    </row>
    <row r="66" spans="1:17" x14ac:dyDescent="0.3">
      <c r="A66" s="11" t="s">
        <v>70</v>
      </c>
      <c r="B66" s="11">
        <v>990</v>
      </c>
      <c r="C66" s="12">
        <v>1814</v>
      </c>
      <c r="D66" s="13">
        <v>0.45</v>
      </c>
      <c r="E66" s="14">
        <v>6</v>
      </c>
      <c r="F66" s="15">
        <v>2.2000000000000002</v>
      </c>
      <c r="G66" s="12">
        <f t="shared" si="2"/>
        <v>824</v>
      </c>
      <c r="H66" s="11" t="str">
        <f t="shared" si="3"/>
        <v>Poor</v>
      </c>
      <c r="I66" s="11" t="str">
        <f>IF(Table1[[#This Row],[Discount]]&gt;40%,"High",IF(Table1[[#This Row],[Discount]]&gt;20%,"Medium","Low"))</f>
        <v>High</v>
      </c>
      <c r="Q66" s="12"/>
    </row>
    <row r="67" spans="1:17" x14ac:dyDescent="0.3">
      <c r="A67" s="11" t="s">
        <v>71</v>
      </c>
      <c r="B67" s="12">
        <v>1000</v>
      </c>
      <c r="C67" s="12">
        <v>2000</v>
      </c>
      <c r="D67" s="13">
        <v>0.5</v>
      </c>
      <c r="E67" s="14">
        <v>7</v>
      </c>
      <c r="F67" s="15">
        <v>2.2999999999999998</v>
      </c>
      <c r="G67" s="12">
        <f t="shared" si="2"/>
        <v>1000</v>
      </c>
      <c r="H67" s="11" t="str">
        <f t="shared" si="3"/>
        <v>Poor</v>
      </c>
      <c r="I67" s="11" t="str">
        <f>IF(Table1[[#This Row],[Discount]]&gt;40%,"High",IF(Table1[[#This Row],[Discount]]&gt;20%,"Medium","Low"))</f>
        <v>High</v>
      </c>
      <c r="N67" s="12"/>
      <c r="Q67" s="12"/>
    </row>
    <row r="68" spans="1:17" x14ac:dyDescent="0.3">
      <c r="A68" s="11" t="s">
        <v>72</v>
      </c>
      <c r="B68" s="12">
        <v>3750</v>
      </c>
      <c r="C68" s="12">
        <v>6143</v>
      </c>
      <c r="D68" s="13">
        <v>0.39</v>
      </c>
      <c r="E68" s="14">
        <v>5</v>
      </c>
      <c r="F68" s="15">
        <v>3</v>
      </c>
      <c r="G68" s="12">
        <f t="shared" si="2"/>
        <v>2393</v>
      </c>
      <c r="H68" s="11" t="str">
        <f t="shared" si="3"/>
        <v>Average</v>
      </c>
      <c r="I68" s="11" t="str">
        <f>IF(Table1[[#This Row],[Discount]]&gt;40%,"High",IF(Table1[[#This Row],[Discount]]&gt;20%,"Medium","Low"))</f>
        <v>Medium</v>
      </c>
      <c r="N68" s="12"/>
      <c r="Q68" s="12"/>
    </row>
    <row r="69" spans="1:17" x14ac:dyDescent="0.3">
      <c r="A69" s="11" t="s">
        <v>73</v>
      </c>
      <c r="B69" s="11">
        <v>382</v>
      </c>
      <c r="C69" s="11">
        <v>700</v>
      </c>
      <c r="D69" s="13">
        <v>0.45</v>
      </c>
      <c r="E69" s="14">
        <v>17</v>
      </c>
      <c r="F69" s="15">
        <v>2.6</v>
      </c>
      <c r="G69" s="12">
        <f t="shared" si="2"/>
        <v>318</v>
      </c>
      <c r="H69" s="11" t="str">
        <f t="shared" si="3"/>
        <v>Poor</v>
      </c>
      <c r="I69" s="11" t="str">
        <f>IF(Table1[[#This Row],[Discount]]&gt;40%,"High",IF(Table1[[#This Row],[Discount]]&gt;20%,"Medium","Low"))</f>
        <v>High</v>
      </c>
    </row>
    <row r="70" spans="1:17" x14ac:dyDescent="0.3">
      <c r="A70" s="11" t="s">
        <v>74</v>
      </c>
      <c r="B70" s="12">
        <v>2300</v>
      </c>
      <c r="C70" s="12">
        <v>3240</v>
      </c>
      <c r="D70" s="13">
        <v>0.28999999999999998</v>
      </c>
      <c r="E70" s="14">
        <v>5</v>
      </c>
      <c r="F70" s="15">
        <v>3</v>
      </c>
      <c r="G70" s="12">
        <f t="shared" si="2"/>
        <v>940</v>
      </c>
      <c r="H70" s="11" t="str">
        <f t="shared" si="3"/>
        <v>Average</v>
      </c>
      <c r="I70" s="11" t="str">
        <f>IF(Table1[[#This Row],[Discount]]&gt;40%,"High",IF(Table1[[#This Row],[Discount]]&gt;20%,"Medium","Low"))</f>
        <v>Medium</v>
      </c>
      <c r="N70" s="12"/>
      <c r="Q70" s="12"/>
    </row>
    <row r="71" spans="1:17" x14ac:dyDescent="0.3">
      <c r="A71" s="11" t="s">
        <v>75</v>
      </c>
      <c r="B71" s="11">
        <v>345</v>
      </c>
      <c r="C71" s="11">
        <v>602</v>
      </c>
      <c r="D71" s="13">
        <v>0.43</v>
      </c>
      <c r="E71" s="14">
        <v>6</v>
      </c>
      <c r="F71" s="15">
        <v>2.2999999999999998</v>
      </c>
      <c r="G71" s="12">
        <f t="shared" si="2"/>
        <v>257</v>
      </c>
      <c r="H71" s="11" t="str">
        <f t="shared" si="3"/>
        <v>Poor</v>
      </c>
      <c r="I71" s="11" t="str">
        <f>IF(Table1[[#This Row],[Discount]]&gt;40%,"High",IF(Table1[[#This Row],[Discount]]&gt;20%,"Medium","Low"))</f>
        <v>High</v>
      </c>
    </row>
    <row r="72" spans="1:17" x14ac:dyDescent="0.3">
      <c r="A72" s="11" t="s">
        <v>76</v>
      </c>
      <c r="B72" s="11">
        <v>509</v>
      </c>
      <c r="C72" s="11">
        <v>899</v>
      </c>
      <c r="D72" s="13">
        <v>0.43</v>
      </c>
      <c r="E72" s="14">
        <v>5</v>
      </c>
      <c r="F72" s="15">
        <v>3</v>
      </c>
      <c r="G72" s="12">
        <f t="shared" si="2"/>
        <v>390</v>
      </c>
      <c r="H72" s="11" t="str">
        <f t="shared" si="3"/>
        <v>Average</v>
      </c>
      <c r="I72" s="11" t="str">
        <f>IF(Table1[[#This Row],[Discount]]&gt;40%,"High",IF(Table1[[#This Row],[Discount]]&gt;20%,"Medium","Low"))</f>
        <v>High</v>
      </c>
    </row>
    <row r="73" spans="1:17" x14ac:dyDescent="0.3">
      <c r="A73" s="11" t="s">
        <v>77</v>
      </c>
      <c r="B73" s="11">
        <v>968</v>
      </c>
      <c r="C73" s="12">
        <v>1814</v>
      </c>
      <c r="D73" s="13">
        <v>0.47</v>
      </c>
      <c r="E73" s="14">
        <v>6</v>
      </c>
      <c r="F73" s="15">
        <v>2.2000000000000002</v>
      </c>
      <c r="G73" s="12">
        <f t="shared" si="2"/>
        <v>846</v>
      </c>
      <c r="H73" s="11" t="str">
        <f t="shared" si="3"/>
        <v>Poor</v>
      </c>
      <c r="I73" s="11" t="str">
        <f>IF(Table1[[#This Row],[Discount]]&gt;40%,"High",IF(Table1[[#This Row],[Discount]]&gt;20%,"Medium","Low"))</f>
        <v>High</v>
      </c>
      <c r="Q73" s="12"/>
    </row>
    <row r="74" spans="1:17" x14ac:dyDescent="0.3">
      <c r="A74" s="11" t="s">
        <v>78</v>
      </c>
      <c r="B74" s="12">
        <v>1570</v>
      </c>
      <c r="C74" s="12">
        <v>2988</v>
      </c>
      <c r="D74" s="13">
        <v>0.47</v>
      </c>
      <c r="E74" s="14">
        <v>7</v>
      </c>
      <c r="F74" s="15">
        <v>2.1</v>
      </c>
      <c r="G74" s="12">
        <f t="shared" si="2"/>
        <v>1418</v>
      </c>
      <c r="H74" s="11" t="str">
        <f t="shared" si="3"/>
        <v>Poor</v>
      </c>
      <c r="I74" s="11" t="str">
        <f>IF(Table1[[#This Row],[Discount]]&gt;40%,"High",IF(Table1[[#This Row],[Discount]]&gt;20%,"Medium","Low"))</f>
        <v>High</v>
      </c>
      <c r="N74" s="12"/>
      <c r="Q74" s="12"/>
    </row>
    <row r="75" spans="1:17" x14ac:dyDescent="0.3">
      <c r="A75" s="11" t="s">
        <v>79</v>
      </c>
      <c r="B75" s="11">
        <v>790</v>
      </c>
      <c r="C75" s="12">
        <v>1485</v>
      </c>
      <c r="D75" s="13">
        <v>0.47</v>
      </c>
      <c r="E75" s="14">
        <v>12.684210526315789</v>
      </c>
      <c r="F75" s="15">
        <v>3.8894736842105258</v>
      </c>
      <c r="G75" s="12">
        <f t="shared" si="2"/>
        <v>695</v>
      </c>
      <c r="H75" s="11" t="str">
        <f t="shared" si="3"/>
        <v>Average</v>
      </c>
      <c r="I75" s="11" t="str">
        <f>IF(Table1[[#This Row],[Discount]]&gt;40%,"High",IF(Table1[[#This Row],[Discount]]&gt;20%,"Medium","Low"))</f>
        <v>High</v>
      </c>
      <c r="Q75" s="12"/>
    </row>
    <row r="76" spans="1:17" x14ac:dyDescent="0.3">
      <c r="A76" s="11" t="s">
        <v>80</v>
      </c>
      <c r="B76" s="11">
        <v>690</v>
      </c>
      <c r="C76" s="12">
        <v>1200</v>
      </c>
      <c r="D76" s="13">
        <v>0.43</v>
      </c>
      <c r="E76" s="14">
        <v>12.684210526315789</v>
      </c>
      <c r="F76" s="15">
        <v>3.8894736842105258</v>
      </c>
      <c r="G76" s="12">
        <f t="shared" si="2"/>
        <v>510</v>
      </c>
      <c r="H76" s="11" t="str">
        <f t="shared" si="3"/>
        <v>Average</v>
      </c>
      <c r="I76" s="11" t="str">
        <f>IF(Table1[[#This Row],[Discount]]&gt;40%,"High",IF(Table1[[#This Row],[Discount]]&gt;20%,"Medium","Low"))</f>
        <v>High</v>
      </c>
      <c r="Q76" s="12"/>
    </row>
    <row r="77" spans="1:17" x14ac:dyDescent="0.3">
      <c r="A77" s="11" t="s">
        <v>81</v>
      </c>
      <c r="B77" s="12">
        <v>1732</v>
      </c>
      <c r="C77" s="12">
        <v>1799</v>
      </c>
      <c r="D77" s="13">
        <v>0.04</v>
      </c>
      <c r="E77" s="14">
        <v>12.684210526315789</v>
      </c>
      <c r="F77" s="15">
        <v>3.8894736842105258</v>
      </c>
      <c r="G77" s="12">
        <f t="shared" si="2"/>
        <v>67</v>
      </c>
      <c r="H77" s="11" t="str">
        <f t="shared" si="3"/>
        <v>Average</v>
      </c>
      <c r="I77" s="11" t="str">
        <f>IF(Table1[[#This Row],[Discount]]&gt;40%,"High",IF(Table1[[#This Row],[Discount]]&gt;20%,"Medium","Low"))</f>
        <v>Low</v>
      </c>
      <c r="N77" s="12"/>
      <c r="Q77" s="12"/>
    </row>
    <row r="78" spans="1:17" x14ac:dyDescent="0.3">
      <c r="A78" s="11" t="s">
        <v>82</v>
      </c>
      <c r="B78" s="11">
        <v>230</v>
      </c>
      <c r="C78" s="11">
        <v>450</v>
      </c>
      <c r="D78" s="13">
        <v>0.49</v>
      </c>
      <c r="E78" s="14">
        <v>12.684210526315789</v>
      </c>
      <c r="F78" s="15">
        <v>3.8894736842105258</v>
      </c>
      <c r="G78" s="12">
        <f t="shared" si="2"/>
        <v>220</v>
      </c>
      <c r="H78" s="11" t="str">
        <f t="shared" si="3"/>
        <v>Average</v>
      </c>
      <c r="I78" s="11" t="str">
        <f>IF(Table1[[#This Row],[Discount]]&gt;40%,"High",IF(Table1[[#This Row],[Discount]]&gt;20%,"Medium","Low"))</f>
        <v>High</v>
      </c>
    </row>
    <row r="79" spans="1:17" x14ac:dyDescent="0.3">
      <c r="A79" s="11" t="s">
        <v>83</v>
      </c>
      <c r="B79" s="12">
        <v>1189</v>
      </c>
      <c r="C79" s="12">
        <v>2199</v>
      </c>
      <c r="D79" s="13">
        <v>0.46</v>
      </c>
      <c r="E79" s="14">
        <v>1</v>
      </c>
      <c r="F79" s="15">
        <v>3</v>
      </c>
      <c r="G79" s="12">
        <f t="shared" si="2"/>
        <v>1010</v>
      </c>
      <c r="H79" s="11" t="str">
        <f t="shared" si="3"/>
        <v>Average</v>
      </c>
      <c r="I79" s="11" t="str">
        <f>IF(Table1[[#This Row],[Discount]]&gt;40%,"High",IF(Table1[[#This Row],[Discount]]&gt;20%,"Medium","Low"))</f>
        <v>High</v>
      </c>
      <c r="N79" s="12"/>
      <c r="Q79" s="12"/>
    </row>
    <row r="80" spans="1:17" x14ac:dyDescent="0.3">
      <c r="A80" s="11" t="s">
        <v>84</v>
      </c>
      <c r="B80" s="11">
        <v>979</v>
      </c>
      <c r="C80" s="12">
        <v>1920</v>
      </c>
      <c r="D80" s="13">
        <v>0.49</v>
      </c>
      <c r="E80" s="14">
        <v>1</v>
      </c>
      <c r="F80" s="15">
        <v>5</v>
      </c>
      <c r="G80" s="12">
        <f t="shared" si="2"/>
        <v>941</v>
      </c>
      <c r="H80" s="11" t="str">
        <f t="shared" si="3"/>
        <v>Excelent</v>
      </c>
      <c r="I80" s="11" t="str">
        <f>IF(Table1[[#This Row],[Discount]]&gt;40%,"High",IF(Table1[[#This Row],[Discount]]&gt;20%,"Medium","Low"))</f>
        <v>High</v>
      </c>
      <c r="Q80" s="12"/>
    </row>
    <row r="81" spans="1:17" x14ac:dyDescent="0.3">
      <c r="A81" s="11" t="s">
        <v>85</v>
      </c>
      <c r="B81" s="12">
        <v>1460</v>
      </c>
      <c r="C81" s="12">
        <v>2290</v>
      </c>
      <c r="D81" s="13">
        <v>0.36</v>
      </c>
      <c r="E81" s="14">
        <v>12.684210526315789</v>
      </c>
      <c r="F81" s="15">
        <v>3.8894736842105258</v>
      </c>
      <c r="G81" s="12">
        <f t="shared" si="2"/>
        <v>830</v>
      </c>
      <c r="H81" s="11" t="str">
        <f t="shared" si="3"/>
        <v>Average</v>
      </c>
      <c r="I81" s="11" t="str">
        <f>IF(Table1[[#This Row],[Discount]]&gt;40%,"High",IF(Table1[[#This Row],[Discount]]&gt;20%,"Medium","Low"))</f>
        <v>Medium</v>
      </c>
      <c r="N81" s="12"/>
      <c r="Q81" s="12"/>
    </row>
    <row r="82" spans="1:17" x14ac:dyDescent="0.3">
      <c r="A82" s="11" t="s">
        <v>86</v>
      </c>
      <c r="B82" s="12">
        <v>1666</v>
      </c>
      <c r="C82" s="12">
        <v>1699</v>
      </c>
      <c r="D82" s="13">
        <v>0.02</v>
      </c>
      <c r="E82" s="14">
        <v>12.684210526315789</v>
      </c>
      <c r="F82" s="15">
        <v>3.8894736842105258</v>
      </c>
      <c r="G82" s="12">
        <f t="shared" si="2"/>
        <v>33</v>
      </c>
      <c r="H82" s="11" t="str">
        <f t="shared" si="3"/>
        <v>Average</v>
      </c>
      <c r="I82" s="11" t="str">
        <f>IF(Table1[[#This Row],[Discount]]&gt;40%,"High",IF(Table1[[#This Row],[Discount]]&gt;20%,"Medium","Low"))</f>
        <v>Low</v>
      </c>
      <c r="N82" s="12"/>
      <c r="Q82" s="12"/>
    </row>
    <row r="83" spans="1:17" x14ac:dyDescent="0.3">
      <c r="A83" s="11" t="s">
        <v>87</v>
      </c>
      <c r="B83" s="11">
        <v>330</v>
      </c>
      <c r="C83" s="11">
        <v>647</v>
      </c>
      <c r="D83" s="13">
        <v>0.49</v>
      </c>
      <c r="E83" s="14">
        <v>1</v>
      </c>
      <c r="F83" s="15">
        <v>4</v>
      </c>
      <c r="G83" s="12">
        <f t="shared" si="2"/>
        <v>317</v>
      </c>
      <c r="H83" s="11" t="str">
        <f t="shared" si="3"/>
        <v>Average</v>
      </c>
      <c r="I83" s="11" t="str">
        <f>IF(Table1[[#This Row],[Discount]]&gt;40%,"High",IF(Table1[[#This Row],[Discount]]&gt;20%,"Medium","Low"))</f>
        <v>High</v>
      </c>
    </row>
    <row r="84" spans="1:17" x14ac:dyDescent="0.3">
      <c r="A84" s="11" t="s">
        <v>88</v>
      </c>
      <c r="B84" s="12">
        <v>1466</v>
      </c>
      <c r="C84" s="12">
        <v>1699</v>
      </c>
      <c r="D84" s="13">
        <v>0.14000000000000001</v>
      </c>
      <c r="E84" s="14">
        <v>12.684210526315789</v>
      </c>
      <c r="F84" s="15">
        <v>3.8894736842105258</v>
      </c>
      <c r="G84" s="12">
        <f t="shared" si="2"/>
        <v>233</v>
      </c>
      <c r="H84" s="11" t="str">
        <f t="shared" si="3"/>
        <v>Average</v>
      </c>
      <c r="I84" s="11" t="str">
        <f>IF(Table1[[#This Row],[Discount]]&gt;40%,"High",IF(Table1[[#This Row],[Discount]]&gt;20%,"Medium","Low"))</f>
        <v>Low</v>
      </c>
      <c r="N84" s="12"/>
      <c r="Q84" s="12"/>
    </row>
    <row r="85" spans="1:17" x14ac:dyDescent="0.3">
      <c r="A85" s="11" t="s">
        <v>89</v>
      </c>
      <c r="B85" s="11">
        <v>274</v>
      </c>
      <c r="C85" s="11">
        <v>537</v>
      </c>
      <c r="D85" s="13">
        <v>0.49</v>
      </c>
      <c r="E85" s="14">
        <v>12.684210526315789</v>
      </c>
      <c r="F85" s="15">
        <v>3.8894736842105258</v>
      </c>
      <c r="G85" s="12">
        <f t="shared" si="2"/>
        <v>263</v>
      </c>
      <c r="H85" s="11" t="str">
        <f t="shared" si="3"/>
        <v>Average</v>
      </c>
      <c r="I85" s="11" t="str">
        <f>IF(Table1[[#This Row],[Discount]]&gt;40%,"High",IF(Table1[[#This Row],[Discount]]&gt;20%,"Medium","Low"))</f>
        <v>High</v>
      </c>
    </row>
    <row r="86" spans="1:17" x14ac:dyDescent="0.3">
      <c r="A86" s="11" t="s">
        <v>90</v>
      </c>
      <c r="B86" s="11">
        <v>799</v>
      </c>
      <c r="C86" s="11">
        <v>900</v>
      </c>
      <c r="D86" s="13">
        <v>0.11</v>
      </c>
      <c r="E86" s="14">
        <v>12.684210526315789</v>
      </c>
      <c r="F86" s="15">
        <v>3.8894736842105258</v>
      </c>
      <c r="G86" s="12">
        <f t="shared" si="2"/>
        <v>101</v>
      </c>
      <c r="H86" s="11" t="str">
        <f t="shared" si="3"/>
        <v>Average</v>
      </c>
      <c r="I86" s="11" t="str">
        <f>IF(Table1[[#This Row],[Discount]]&gt;40%,"High",IF(Table1[[#This Row],[Discount]]&gt;20%,"Medium","Low"))</f>
        <v>Low</v>
      </c>
    </row>
    <row r="87" spans="1:17" x14ac:dyDescent="0.3">
      <c r="A87" s="11" t="s">
        <v>91</v>
      </c>
      <c r="B87" s="12">
        <v>1468</v>
      </c>
      <c r="C87" s="12">
        <v>1699</v>
      </c>
      <c r="D87" s="13">
        <v>0.14000000000000001</v>
      </c>
      <c r="E87" s="14">
        <v>12.684210526315789</v>
      </c>
      <c r="F87" s="15">
        <v>3.8894736842105258</v>
      </c>
      <c r="G87" s="12">
        <f t="shared" si="2"/>
        <v>231</v>
      </c>
      <c r="H87" s="11" t="str">
        <f t="shared" si="3"/>
        <v>Average</v>
      </c>
      <c r="I87" s="11" t="str">
        <f>IF(Table1[[#This Row],[Discount]]&gt;40%,"High",IF(Table1[[#This Row],[Discount]]&gt;20%,"Medium","Low"))</f>
        <v>Low</v>
      </c>
      <c r="N87" s="12"/>
      <c r="Q87" s="12"/>
    </row>
    <row r="88" spans="1:17" x14ac:dyDescent="0.3">
      <c r="A88" s="11" t="s">
        <v>92</v>
      </c>
      <c r="B88" s="11">
        <v>630</v>
      </c>
      <c r="C88" s="12">
        <v>1100</v>
      </c>
      <c r="D88" s="13">
        <v>0.43</v>
      </c>
      <c r="E88" s="14">
        <v>12.684210526315789</v>
      </c>
      <c r="F88" s="15">
        <v>3.8894736842105258</v>
      </c>
      <c r="G88" s="12">
        <f t="shared" si="2"/>
        <v>470</v>
      </c>
      <c r="H88" s="11" t="str">
        <f t="shared" si="3"/>
        <v>Average</v>
      </c>
      <c r="I88" s="11" t="str">
        <f>IF(Table1[[#This Row],[Discount]]&gt;40%,"High",IF(Table1[[#This Row],[Discount]]&gt;20%,"Medium","Low"))</f>
        <v>High</v>
      </c>
      <c r="Q88" s="12"/>
    </row>
    <row r="89" spans="1:17" x14ac:dyDescent="0.3">
      <c r="A89" s="11" t="s">
        <v>93</v>
      </c>
      <c r="B89" s="11">
        <v>850</v>
      </c>
      <c r="C89" s="12">
        <v>1700</v>
      </c>
      <c r="D89" s="13">
        <v>0.5</v>
      </c>
      <c r="E89" s="14">
        <v>12.684210526315789</v>
      </c>
      <c r="F89" s="15">
        <v>3.8894736842105258</v>
      </c>
      <c r="G89" s="12">
        <f t="shared" si="2"/>
        <v>850</v>
      </c>
      <c r="H89" s="11" t="str">
        <f t="shared" si="3"/>
        <v>Average</v>
      </c>
      <c r="I89" s="11" t="str">
        <f>IF(Table1[[#This Row],[Discount]]&gt;40%,"High",IF(Table1[[#This Row],[Discount]]&gt;20%,"Medium","Low"))</f>
        <v>High</v>
      </c>
      <c r="Q89" s="12"/>
    </row>
    <row r="90" spans="1:17" x14ac:dyDescent="0.3">
      <c r="A90" s="11" t="s">
        <v>94</v>
      </c>
      <c r="B90" s="12">
        <v>1300</v>
      </c>
      <c r="C90" s="12">
        <v>2500</v>
      </c>
      <c r="D90" s="13">
        <v>0.48</v>
      </c>
      <c r="E90" s="14">
        <v>12.684210526315789</v>
      </c>
      <c r="F90" s="15">
        <v>3.8894736842105258</v>
      </c>
      <c r="G90" s="12">
        <f t="shared" si="2"/>
        <v>1200</v>
      </c>
      <c r="H90" s="11" t="str">
        <f t="shared" si="3"/>
        <v>Average</v>
      </c>
      <c r="I90" s="11" t="str">
        <f>IF(Table1[[#This Row],[Discount]]&gt;40%,"High",IF(Table1[[#This Row],[Discount]]&gt;20%,"Medium","Low"))</f>
        <v>High</v>
      </c>
      <c r="N90" s="12"/>
      <c r="Q90" s="12"/>
    </row>
    <row r="91" spans="1:17" x14ac:dyDescent="0.3">
      <c r="A91" s="11" t="s">
        <v>95</v>
      </c>
      <c r="B91" s="11">
        <v>105</v>
      </c>
      <c r="C91" s="11">
        <v>200</v>
      </c>
      <c r="D91" s="13">
        <v>0.48</v>
      </c>
      <c r="E91" s="14">
        <v>12.684210526315789</v>
      </c>
      <c r="F91" s="15">
        <v>3.8894736842105258</v>
      </c>
      <c r="G91" s="12">
        <f t="shared" si="2"/>
        <v>95</v>
      </c>
      <c r="H91" s="11" t="str">
        <f t="shared" si="3"/>
        <v>Average</v>
      </c>
      <c r="I91" s="11" t="str">
        <f>IF(Table1[[#This Row],[Discount]]&gt;40%,"High",IF(Table1[[#This Row],[Discount]]&gt;20%,"Medium","Low"))</f>
        <v>High</v>
      </c>
    </row>
    <row r="92" spans="1:17" x14ac:dyDescent="0.3">
      <c r="A92" s="11" t="s">
        <v>96</v>
      </c>
      <c r="B92" s="11">
        <v>899</v>
      </c>
      <c r="C92" s="12">
        <v>1699</v>
      </c>
      <c r="D92" s="13">
        <v>0.47</v>
      </c>
      <c r="E92" s="14">
        <v>12.684210526315789</v>
      </c>
      <c r="F92" s="15">
        <v>3.8894736842105258</v>
      </c>
      <c r="G92" s="12">
        <f t="shared" si="2"/>
        <v>800</v>
      </c>
      <c r="H92" s="11" t="str">
        <f t="shared" si="3"/>
        <v>Average</v>
      </c>
      <c r="I92" s="11" t="str">
        <f>IF(Table1[[#This Row],[Discount]]&gt;40%,"High",IF(Table1[[#This Row],[Discount]]&gt;20%,"Medium","Low"))</f>
        <v>High</v>
      </c>
      <c r="Q92" s="12"/>
    </row>
    <row r="93" spans="1:17" x14ac:dyDescent="0.3">
      <c r="A93" s="11" t="s">
        <v>97</v>
      </c>
      <c r="B93" s="12">
        <v>1200</v>
      </c>
      <c r="C93" s="12">
        <v>2400</v>
      </c>
      <c r="D93" s="13">
        <v>0.5</v>
      </c>
      <c r="E93" s="14">
        <v>12.684210526315789</v>
      </c>
      <c r="F93" s="15">
        <v>3.8894736842105258</v>
      </c>
      <c r="G93" s="12">
        <f t="shared" si="2"/>
        <v>1200</v>
      </c>
      <c r="H93" s="11" t="str">
        <f t="shared" si="3"/>
        <v>Average</v>
      </c>
      <c r="I93" s="11" t="str">
        <f>IF(Table1[[#This Row],[Discount]]&gt;40%,"High",IF(Table1[[#This Row],[Discount]]&gt;20%,"Medium","Low"))</f>
        <v>High</v>
      </c>
      <c r="N93" s="12"/>
      <c r="Q93" s="12"/>
    </row>
    <row r="94" spans="1:17" x14ac:dyDescent="0.3">
      <c r="A94" s="11" t="s">
        <v>98</v>
      </c>
      <c r="B94" s="12">
        <v>1526</v>
      </c>
      <c r="C94" s="12">
        <v>1660</v>
      </c>
      <c r="D94" s="13">
        <v>0.08</v>
      </c>
      <c r="E94" s="14">
        <v>12.684210526315789</v>
      </c>
      <c r="F94" s="15">
        <v>3.8894736842105258</v>
      </c>
      <c r="G94" s="12">
        <f t="shared" si="2"/>
        <v>134</v>
      </c>
      <c r="H94" s="11" t="str">
        <f t="shared" si="3"/>
        <v>Average</v>
      </c>
      <c r="I94" s="11" t="str">
        <f>IF(Table1[[#This Row],[Discount]]&gt;40%,"High",IF(Table1[[#This Row],[Discount]]&gt;20%,"Medium","Low"))</f>
        <v>Low</v>
      </c>
      <c r="N94" s="12"/>
      <c r="Q94" s="12"/>
    </row>
    <row r="95" spans="1:17" x14ac:dyDescent="0.3">
      <c r="A95" s="11" t="s">
        <v>99</v>
      </c>
      <c r="B95" s="12">
        <v>1462</v>
      </c>
      <c r="C95" s="12">
        <v>1499</v>
      </c>
      <c r="D95" s="13">
        <v>0.02</v>
      </c>
      <c r="E95" s="14">
        <v>12.684210526315789</v>
      </c>
      <c r="F95" s="15">
        <v>3.8894736842105258</v>
      </c>
      <c r="G95" s="12">
        <f t="shared" si="2"/>
        <v>37</v>
      </c>
      <c r="H95" s="11" t="str">
        <f t="shared" si="3"/>
        <v>Average</v>
      </c>
      <c r="I95" s="11" t="str">
        <f>IF(Table1[[#This Row],[Discount]]&gt;40%,"High",IF(Table1[[#This Row],[Discount]]&gt;20%,"Medium","Low"))</f>
        <v>Low</v>
      </c>
      <c r="N95" s="12"/>
      <c r="Q95" s="12"/>
    </row>
    <row r="96" spans="1:17" x14ac:dyDescent="0.3">
      <c r="A96" s="11" t="s">
        <v>100</v>
      </c>
      <c r="B96" s="11">
        <v>248</v>
      </c>
      <c r="C96" s="11">
        <v>486</v>
      </c>
      <c r="D96" s="13">
        <v>0.49</v>
      </c>
      <c r="E96" s="14">
        <v>12.684210526315789</v>
      </c>
      <c r="F96" s="15">
        <v>3.8894736842105258</v>
      </c>
      <c r="G96" s="12">
        <f t="shared" si="2"/>
        <v>238</v>
      </c>
      <c r="H96" s="11" t="str">
        <f t="shared" si="3"/>
        <v>Average</v>
      </c>
      <c r="I96" s="11" t="str">
        <f>IF(Table1[[#This Row],[Discount]]&gt;40%,"High",IF(Table1[[#This Row],[Discount]]&gt;20%,"Medium","Low"))</f>
        <v>High</v>
      </c>
    </row>
    <row r="97" spans="1:17" x14ac:dyDescent="0.3">
      <c r="A97" s="11" t="s">
        <v>101</v>
      </c>
      <c r="B97" s="12">
        <v>3546</v>
      </c>
      <c r="C97" s="12">
        <v>3699</v>
      </c>
      <c r="D97" s="13">
        <v>0.04</v>
      </c>
      <c r="E97" s="14">
        <v>12.684210526315789</v>
      </c>
      <c r="F97" s="15">
        <v>3.8894736842105258</v>
      </c>
      <c r="G97" s="12">
        <f t="shared" si="2"/>
        <v>153</v>
      </c>
      <c r="H97" s="11" t="str">
        <f t="shared" si="3"/>
        <v>Average</v>
      </c>
      <c r="I97" s="11" t="str">
        <f>IF(Table1[[#This Row],[Discount]]&gt;40%,"High",IF(Table1[[#This Row],[Discount]]&gt;20%,"Medium","Low"))</f>
        <v>Low</v>
      </c>
      <c r="N97" s="12"/>
      <c r="Q97" s="12"/>
    </row>
    <row r="98" spans="1:17" x14ac:dyDescent="0.3">
      <c r="A98" s="11" t="s">
        <v>102</v>
      </c>
      <c r="B98" s="11">
        <v>525</v>
      </c>
      <c r="C98" s="12">
        <v>1029</v>
      </c>
      <c r="D98" s="13">
        <v>0.49</v>
      </c>
      <c r="E98" s="14">
        <v>12.684210526315789</v>
      </c>
      <c r="F98" s="15">
        <v>3.8894736842105258</v>
      </c>
      <c r="G98" s="12">
        <f t="shared" si="2"/>
        <v>504</v>
      </c>
      <c r="H98" s="11" t="str">
        <f t="shared" si="3"/>
        <v>Average</v>
      </c>
      <c r="I98" s="11" t="str">
        <f>IF(Table1[[#This Row],[Discount]]&gt;40%,"High",IF(Table1[[#This Row],[Discount]]&gt;20%,"Medium","Low"))</f>
        <v>High</v>
      </c>
      <c r="Q98" s="12"/>
    </row>
    <row r="99" spans="1:17" x14ac:dyDescent="0.3">
      <c r="A99" s="11" t="s">
        <v>103</v>
      </c>
      <c r="B99" s="12">
        <v>1080</v>
      </c>
      <c r="C99" s="12">
        <v>1874</v>
      </c>
      <c r="D99" s="13">
        <v>0.42</v>
      </c>
      <c r="E99" s="14">
        <v>12.684210526315789</v>
      </c>
      <c r="F99" s="15">
        <v>3.8894736842105258</v>
      </c>
      <c r="G99" s="12">
        <f t="shared" si="2"/>
        <v>794</v>
      </c>
      <c r="H99" s="11" t="str">
        <f t="shared" si="3"/>
        <v>Average</v>
      </c>
      <c r="I99" s="11" t="str">
        <f>IF(Table1[[#This Row],[Discount]]&gt;40%,"High",IF(Table1[[#This Row],[Discount]]&gt;20%,"Medium","Low"))</f>
        <v>High</v>
      </c>
      <c r="N99" s="12"/>
      <c r="Q99" s="12"/>
    </row>
    <row r="100" spans="1:17" x14ac:dyDescent="0.3">
      <c r="A100" s="11" t="s">
        <v>104</v>
      </c>
      <c r="B100" s="12">
        <v>3640</v>
      </c>
      <c r="C100" s="12">
        <v>4588</v>
      </c>
      <c r="D100" s="13">
        <v>0.21</v>
      </c>
      <c r="E100" s="14">
        <v>1</v>
      </c>
      <c r="F100" s="15">
        <v>5</v>
      </c>
      <c r="G100" s="12">
        <f t="shared" si="2"/>
        <v>948</v>
      </c>
      <c r="H100" s="11" t="str">
        <f t="shared" si="3"/>
        <v>Excelent</v>
      </c>
      <c r="I100" s="11" t="str">
        <f>IF(Table1[[#This Row],[Discount]]&gt;40%,"High",IF(Table1[[#This Row],[Discount]]&gt;20%,"Medium","Low"))</f>
        <v>Medium</v>
      </c>
      <c r="N100" s="12"/>
      <c r="Q100" s="12"/>
    </row>
    <row r="101" spans="1:17" x14ac:dyDescent="0.3">
      <c r="A101" s="11" t="s">
        <v>105</v>
      </c>
      <c r="B101" s="12">
        <v>1420</v>
      </c>
      <c r="C101" s="12">
        <v>2420</v>
      </c>
      <c r="D101" s="13">
        <v>0.41</v>
      </c>
      <c r="E101" s="14">
        <v>12.684210526315789</v>
      </c>
      <c r="F101" s="15">
        <v>3.8894736842105258</v>
      </c>
      <c r="G101" s="12">
        <f t="shared" si="2"/>
        <v>1000</v>
      </c>
      <c r="H101" s="11" t="str">
        <f t="shared" si="3"/>
        <v>Average</v>
      </c>
      <c r="I101" s="11" t="str">
        <f>IF(Table1[[#This Row],[Discount]]&gt;40%,"High",IF(Table1[[#This Row],[Discount]]&gt;20%,"Medium","Low"))</f>
        <v>High</v>
      </c>
      <c r="N101" s="12"/>
      <c r="Q101" s="12"/>
    </row>
    <row r="102" spans="1:17" x14ac:dyDescent="0.3">
      <c r="A102" s="11" t="s">
        <v>106</v>
      </c>
      <c r="B102" s="12">
        <v>1875</v>
      </c>
      <c r="C102" s="12">
        <v>1899</v>
      </c>
      <c r="D102" s="13">
        <v>0.01</v>
      </c>
      <c r="E102" s="14">
        <v>12.684210526315789</v>
      </c>
      <c r="F102" s="15">
        <v>3.8894736842105258</v>
      </c>
      <c r="G102" s="12">
        <f t="shared" si="2"/>
        <v>24</v>
      </c>
      <c r="H102" s="11" t="str">
        <f t="shared" si="3"/>
        <v>Average</v>
      </c>
      <c r="I102" s="11" t="str">
        <f>IF(Table1[[#This Row],[Discount]]&gt;40%,"High",IF(Table1[[#This Row],[Discount]]&gt;20%,"Medium","Low"))</f>
        <v>Low</v>
      </c>
      <c r="N102" s="12"/>
      <c r="Q102" s="12"/>
    </row>
    <row r="103" spans="1:17" x14ac:dyDescent="0.3">
      <c r="A103" s="11" t="s">
        <v>107</v>
      </c>
      <c r="B103" s="11">
        <v>198</v>
      </c>
      <c r="C103" s="11">
        <v>260</v>
      </c>
      <c r="D103" s="13">
        <v>0.24</v>
      </c>
      <c r="E103" s="14">
        <v>12.684210526315789</v>
      </c>
      <c r="F103" s="15">
        <v>3.8894736842105258</v>
      </c>
      <c r="G103" s="12">
        <f t="shared" si="2"/>
        <v>62</v>
      </c>
      <c r="H103" s="11" t="str">
        <f t="shared" si="3"/>
        <v>Average</v>
      </c>
      <c r="I103" s="11" t="str">
        <f>IF(Table1[[#This Row],[Discount]]&gt;40%,"High",IF(Table1[[#This Row],[Discount]]&gt;20%,"Medium","Low"))</f>
        <v>Medium</v>
      </c>
    </row>
    <row r="104" spans="1:17" x14ac:dyDescent="0.3">
      <c r="A104" s="11" t="s">
        <v>108</v>
      </c>
      <c r="B104" s="12">
        <v>1150</v>
      </c>
      <c r="C104" s="12">
        <v>1737</v>
      </c>
      <c r="D104" s="13">
        <v>0.34</v>
      </c>
      <c r="E104" s="14">
        <v>12.684210526315789</v>
      </c>
      <c r="F104" s="15">
        <v>3.8894736842105258</v>
      </c>
      <c r="G104" s="12">
        <f t="shared" si="2"/>
        <v>587</v>
      </c>
      <c r="H104" s="11" t="str">
        <f t="shared" si="3"/>
        <v>Average</v>
      </c>
      <c r="I104" s="11" t="str">
        <f>IF(Table1[[#This Row],[Discount]]&gt;40%,"High",IF(Table1[[#This Row],[Discount]]&gt;20%,"Medium","Low"))</f>
        <v>Medium</v>
      </c>
      <c r="N104" s="12"/>
      <c r="Q104" s="12"/>
    </row>
    <row r="105" spans="1:17" x14ac:dyDescent="0.3">
      <c r="A105" s="11" t="s">
        <v>109</v>
      </c>
      <c r="B105" s="12">
        <v>1190</v>
      </c>
      <c r="C105" s="12">
        <v>1810</v>
      </c>
      <c r="D105" s="13">
        <v>0.34</v>
      </c>
      <c r="E105" s="14">
        <v>12.684210526315789</v>
      </c>
      <c r="F105" s="15">
        <v>3.8894736842105258</v>
      </c>
      <c r="G105" s="12">
        <f t="shared" si="2"/>
        <v>620</v>
      </c>
      <c r="H105" s="11" t="str">
        <f t="shared" si="3"/>
        <v>Average</v>
      </c>
      <c r="I105" s="11" t="str">
        <f>IF(Table1[[#This Row],[Discount]]&gt;40%,"High",IF(Table1[[#This Row],[Discount]]&gt;20%,"Medium","Low"))</f>
        <v>Medium</v>
      </c>
      <c r="N105" s="12"/>
      <c r="Q105" s="12"/>
    </row>
    <row r="106" spans="1:17" x14ac:dyDescent="0.3">
      <c r="A106" s="11" t="s">
        <v>110</v>
      </c>
      <c r="B106" s="12">
        <v>1658</v>
      </c>
      <c r="C106" s="12">
        <v>1699</v>
      </c>
      <c r="D106" s="13">
        <v>0.02</v>
      </c>
      <c r="E106" s="14">
        <v>12.684210526315789</v>
      </c>
      <c r="F106" s="15">
        <v>3.8894736842105258</v>
      </c>
      <c r="G106" s="12">
        <f t="shared" si="2"/>
        <v>41</v>
      </c>
      <c r="H106" s="11" t="str">
        <f t="shared" si="3"/>
        <v>Average</v>
      </c>
      <c r="I106" s="11" t="str">
        <f>IF(Table1[[#This Row],[Discount]]&gt;40%,"High",IF(Table1[[#This Row],[Discount]]&gt;20%,"Medium","Low"))</f>
        <v>Low</v>
      </c>
      <c r="N106" s="12"/>
      <c r="Q106" s="12"/>
    </row>
    <row r="107" spans="1:17" x14ac:dyDescent="0.3">
      <c r="A107" s="11" t="s">
        <v>111</v>
      </c>
      <c r="B107" s="12">
        <v>1768</v>
      </c>
      <c r="C107" s="12">
        <v>1799</v>
      </c>
      <c r="D107" s="13">
        <v>0.02</v>
      </c>
      <c r="E107" s="14">
        <v>12.684210526315789</v>
      </c>
      <c r="F107" s="15">
        <v>3.8894736842105258</v>
      </c>
      <c r="G107" s="12">
        <f t="shared" si="2"/>
        <v>31</v>
      </c>
      <c r="H107" s="11" t="str">
        <f t="shared" si="3"/>
        <v>Average</v>
      </c>
      <c r="I107" s="11" t="str">
        <f>IF(Table1[[#This Row],[Discount]]&gt;40%,"High",IF(Table1[[#This Row],[Discount]]&gt;20%,"Medium","Low"))</f>
        <v>Low</v>
      </c>
      <c r="N107" s="12"/>
      <c r="Q107" s="12"/>
    </row>
    <row r="108" spans="1:17" x14ac:dyDescent="0.3">
      <c r="A108" s="11" t="s">
        <v>112</v>
      </c>
      <c r="B108" s="11">
        <v>199</v>
      </c>
      <c r="C108" s="11">
        <v>553</v>
      </c>
      <c r="D108" s="13">
        <v>0.64</v>
      </c>
      <c r="E108" s="14">
        <v>12.684210526315789</v>
      </c>
      <c r="F108" s="15">
        <v>3.8894736842105258</v>
      </c>
      <c r="G108" s="12">
        <f t="shared" si="2"/>
        <v>354</v>
      </c>
      <c r="H108" s="11" t="str">
        <f t="shared" si="3"/>
        <v>Average</v>
      </c>
      <c r="I108" s="11" t="str">
        <f>IF(Table1[[#This Row],[Discount]]&gt;40%,"High",IF(Table1[[#This Row],[Discount]]&gt;20%,"Medium","Low"))</f>
        <v>High</v>
      </c>
    </row>
    <row r="109" spans="1:17" x14ac:dyDescent="0.3">
      <c r="A109" s="11" t="s">
        <v>113</v>
      </c>
      <c r="B109" s="11">
        <v>450</v>
      </c>
      <c r="C109" s="11">
        <v>900</v>
      </c>
      <c r="D109" s="13">
        <v>0.5</v>
      </c>
      <c r="E109" s="14">
        <v>1</v>
      </c>
      <c r="F109" s="15">
        <v>2</v>
      </c>
      <c r="G109" s="12">
        <f t="shared" si="2"/>
        <v>450</v>
      </c>
      <c r="H109" s="11" t="str">
        <f t="shared" si="3"/>
        <v>Poor</v>
      </c>
      <c r="I109" s="11" t="str">
        <f>IF(Table1[[#This Row],[Discount]]&gt;40%,"High",IF(Table1[[#This Row],[Discount]]&gt;20%,"Medium","Low"))</f>
        <v>High</v>
      </c>
    </row>
    <row r="110" spans="1:17" x14ac:dyDescent="0.3">
      <c r="A110" s="11" t="s">
        <v>114</v>
      </c>
      <c r="B110" s="11">
        <v>169</v>
      </c>
      <c r="C110" s="11">
        <v>320</v>
      </c>
      <c r="D110" s="13">
        <v>0.47</v>
      </c>
      <c r="E110" s="14">
        <v>12.684210526315789</v>
      </c>
      <c r="F110" s="15">
        <v>3.8894736842105258</v>
      </c>
      <c r="G110" s="12">
        <f t="shared" si="2"/>
        <v>151</v>
      </c>
      <c r="H110" s="11" t="str">
        <f t="shared" si="3"/>
        <v>Average</v>
      </c>
      <c r="I110" s="11" t="str">
        <f>IF(Table1[[#This Row],[Discount]]&gt;40%,"High",IF(Table1[[#This Row],[Discount]]&gt;20%,"Medium","Low"))</f>
        <v>High</v>
      </c>
    </row>
  </sheetData>
  <conditionalFormatting sqref="A1:A1048576">
    <cfRule type="duplicateValues" dxfId="11" priority="1"/>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Excel_jumia (1)</vt:lpstr>
      <vt:lpstr>Discount</vt:lpstr>
      <vt:lpstr>Ratings</vt:lpstr>
      <vt:lpstr>Sheet4</vt:lpstr>
      <vt:lpstr>Top products per rating</vt:lpstr>
      <vt:lpstr>Sheet1</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dc:creator>
  <cp:lastModifiedBy>USER</cp:lastModifiedBy>
  <dcterms:created xsi:type="dcterms:W3CDTF">2026-01-26T15:58:36Z</dcterms:created>
  <dcterms:modified xsi:type="dcterms:W3CDTF">2026-02-01T01:50:51Z</dcterms:modified>
</cp:coreProperties>
</file>